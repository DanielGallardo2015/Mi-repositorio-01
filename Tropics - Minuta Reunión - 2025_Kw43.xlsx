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volkswagengroup.sharepoint.com/sites/LogsticaOperativaCIP/Documentos compartidos/Logística Operativa/10 - Tropics/01 - Seguimientos/"/>
    </mc:Choice>
  </mc:AlternateContent>
  <xr:revisionPtr revIDLastSave="93" documentId="8_{BB75434F-1B45-4ADA-A3AE-CFEDBE4FD676}" xr6:coauthVersionLast="47" xr6:coauthVersionMax="47" xr10:uidLastSave="{E17C0605-92AD-4AF2-B71D-524FF74B1D26}"/>
  <bookViews>
    <workbookView xWindow="-120" yWindow="-120" windowWidth="29040" windowHeight="15840" tabRatio="344" firstSheet="1" activeTab="1" xr2:uid="{00000000-000D-0000-FFFF-FFFF00000000}"/>
  </bookViews>
  <sheets>
    <sheet name="Disponibles (2)" sheetId="6" state="hidden" r:id="rId1"/>
    <sheet name="Tropics" sheetId="3" r:id="rId2"/>
    <sheet name="Hoja1" sheetId="7" r:id="rId3"/>
    <sheet name="Disponibles PA" sheetId="5" state="hidden" r:id="rId4"/>
    <sheet name="Lista" sheetId="4" state="hidden" r:id="rId5"/>
  </sheets>
  <definedNames>
    <definedName name="_xlnm.Print_Area" localSheetId="1">Tropics!$A$1:$K$88</definedName>
    <definedName name="News" localSheetId="1">Tropics!$T$13:$T$19</definedName>
    <definedName name="New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C8" i="5" l="1"/>
  <c r="C10" i="5"/>
  <c r="F21" i="6" l="1"/>
  <c r="F11" i="6" s="1"/>
  <c r="F7" i="6" s="1"/>
  <c r="C21" i="6"/>
  <c r="C11" i="6" s="1"/>
  <c r="C7" i="6" s="1"/>
  <c r="H9" i="6" l="1"/>
  <c r="E28" i="6"/>
  <c r="G28" i="6" s="1"/>
  <c r="H28" i="6" s="1"/>
  <c r="E27" i="6"/>
  <c r="G27" i="6" s="1"/>
  <c r="E26" i="6"/>
  <c r="G26" i="6" s="1"/>
  <c r="H26" i="6" s="1"/>
  <c r="E25" i="6"/>
  <c r="G25" i="6" s="1"/>
  <c r="H25" i="6" s="1"/>
  <c r="E24" i="6"/>
  <c r="G24" i="6" s="1"/>
  <c r="H24" i="6" s="1"/>
  <c r="E23" i="6"/>
  <c r="G23" i="6" s="1"/>
  <c r="H23" i="6" s="1"/>
  <c r="E22" i="6"/>
  <c r="G22" i="6" s="1"/>
  <c r="H22" i="6" s="1"/>
  <c r="D21" i="6"/>
  <c r="D11" i="6" s="1"/>
  <c r="D7" i="6" s="1"/>
  <c r="E7" i="6" s="1"/>
  <c r="E20" i="6"/>
  <c r="G20" i="6" s="1"/>
  <c r="H20" i="6" s="1"/>
  <c r="E19" i="6"/>
  <c r="G19" i="6" s="1"/>
  <c r="H19" i="6" s="1"/>
  <c r="E18" i="6"/>
  <c r="G18" i="6" s="1"/>
  <c r="H18" i="6" s="1"/>
  <c r="E17" i="6"/>
  <c r="G17" i="6" s="1"/>
  <c r="H17" i="6" s="1"/>
  <c r="E16" i="6"/>
  <c r="G16" i="6" s="1"/>
  <c r="H16" i="6" s="1"/>
  <c r="E15" i="6"/>
  <c r="G15" i="6" s="1"/>
  <c r="H15" i="6" s="1"/>
  <c r="E14" i="6"/>
  <c r="G14" i="6" s="1"/>
  <c r="H14" i="6" s="1"/>
  <c r="E13" i="6"/>
  <c r="G13" i="6" s="1"/>
  <c r="H13" i="6" s="1"/>
  <c r="E12" i="6"/>
  <c r="G12" i="6" s="1"/>
  <c r="H12" i="6" s="1"/>
  <c r="E10" i="6"/>
  <c r="G10" i="6" s="1"/>
  <c r="H10" i="6" s="1"/>
  <c r="E9" i="6"/>
  <c r="E8" i="6"/>
  <c r="G8" i="6" s="1"/>
  <c r="H8" i="6" s="1"/>
  <c r="G21" i="6" l="1"/>
  <c r="G11" i="6" s="1"/>
  <c r="H11" i="6" s="1"/>
  <c r="H27" i="6"/>
  <c r="E21" i="6"/>
  <c r="E11" i="6"/>
  <c r="H21" i="6" l="1"/>
  <c r="G7" i="6"/>
  <c r="H7" i="6" s="1"/>
  <c r="D10" i="5" l="1"/>
  <c r="E9" i="5" l="1"/>
  <c r="E8" i="5"/>
  <c r="E27" i="5"/>
  <c r="E26" i="5"/>
  <c r="E25" i="5"/>
  <c r="E24" i="5"/>
  <c r="E23" i="5"/>
  <c r="E22" i="5"/>
  <c r="E21" i="5"/>
  <c r="E19" i="5"/>
  <c r="E18" i="5"/>
  <c r="E17" i="5"/>
  <c r="E16" i="5"/>
  <c r="E15" i="5"/>
  <c r="E14" i="5"/>
  <c r="E13" i="5"/>
  <c r="E12" i="5"/>
  <c r="E11" i="5"/>
  <c r="E7" i="5"/>
  <c r="E20" i="5" l="1"/>
  <c r="E10" i="5"/>
</calcChain>
</file>

<file path=xl/sharedStrings.xml><?xml version="1.0" encoding="utf-8"?>
<sst xmlns="http://schemas.openxmlformats.org/spreadsheetml/2006/main" count="255" uniqueCount="146">
  <si>
    <t>Status</t>
  </si>
  <si>
    <t>Ok</t>
  </si>
  <si>
    <t>--</t>
  </si>
  <si>
    <t>Lista</t>
  </si>
  <si>
    <t>Pending</t>
  </si>
  <si>
    <t>No Ok</t>
  </si>
  <si>
    <t>ARG</t>
  </si>
  <si>
    <t>BRA</t>
  </si>
  <si>
    <t>MEX</t>
  </si>
  <si>
    <t>Flex ok</t>
  </si>
  <si>
    <t>Flex NO OK</t>
  </si>
  <si>
    <t>Procesing</t>
  </si>
  <si>
    <t>Alert</t>
  </si>
  <si>
    <t>Information</t>
  </si>
  <si>
    <t>IFA SYSTEM - FU TRANSMISSION - PACHECO PLANT</t>
  </si>
  <si>
    <t>Model: AMAROK</t>
  </si>
  <si>
    <t>Country</t>
  </si>
  <si>
    <t>Ordenes Disponibles</t>
  </si>
  <si>
    <t>+/- Ordenes vs FU Plan</t>
  </si>
  <si>
    <t>Total Amarok</t>
  </si>
  <si>
    <t>BRAZIL:</t>
  </si>
  <si>
    <t>MÉXICO:</t>
  </si>
  <si>
    <t>ARGENTINA:</t>
  </si>
  <si>
    <t>LAM:</t>
  </si>
  <si>
    <t>CHILE</t>
  </si>
  <si>
    <t>CHL</t>
  </si>
  <si>
    <t>PERU</t>
  </si>
  <si>
    <t>PER</t>
  </si>
  <si>
    <t>KOLUMBIEN</t>
  </si>
  <si>
    <t>COL</t>
  </si>
  <si>
    <t>URUGUAY</t>
  </si>
  <si>
    <t>URY</t>
  </si>
  <si>
    <t>PARAGUAY</t>
  </si>
  <si>
    <t>PRY</t>
  </si>
  <si>
    <t>EKUADOR</t>
  </si>
  <si>
    <t>ECU</t>
  </si>
  <si>
    <t>REP. DOM.</t>
  </si>
  <si>
    <t>DOM</t>
  </si>
  <si>
    <t>GUATEMALA</t>
  </si>
  <si>
    <t>GTM</t>
  </si>
  <si>
    <t>El Salvador (---)</t>
  </si>
  <si>
    <t>SLV</t>
  </si>
  <si>
    <t>R SUEDAM</t>
  </si>
  <si>
    <t xml:space="preserve"> Suriname (601)</t>
  </si>
  <si>
    <t>SUR</t>
  </si>
  <si>
    <t>Jamaica (637)</t>
  </si>
  <si>
    <t>JAM</t>
  </si>
  <si>
    <t xml:space="preserve"> Curazao (804)</t>
  </si>
  <si>
    <t>CUW</t>
  </si>
  <si>
    <t>Panana (815)</t>
  </si>
  <si>
    <t>PAN</t>
  </si>
  <si>
    <t xml:space="preserve"> Costa Rica (862)</t>
  </si>
  <si>
    <t>CRI</t>
  </si>
  <si>
    <t xml:space="preserve"> Honduras (947)</t>
  </si>
  <si>
    <t>HND</t>
  </si>
  <si>
    <t>Aruba (806)</t>
  </si>
  <si>
    <t>ARU</t>
  </si>
  <si>
    <t>FU's:</t>
  </si>
  <si>
    <t>Observaciones</t>
  </si>
  <si>
    <t>EPL12</t>
  </si>
  <si>
    <t>EPL12
Kw12</t>
  </si>
  <si>
    <t>EPL12
Kw13</t>
  </si>
  <si>
    <t>Closed</t>
  </si>
  <si>
    <t>Proyecto Tropics</t>
  </si>
  <si>
    <t>Ítem</t>
  </si>
  <si>
    <t>Minuta de reunión:</t>
  </si>
  <si>
    <t>Tarea</t>
  </si>
  <si>
    <t>Responsable</t>
  </si>
  <si>
    <t>Fecha Inicio</t>
  </si>
  <si>
    <t>Fecha Fin</t>
  </si>
  <si>
    <t>Participantes:</t>
  </si>
  <si>
    <t>Tropics 360</t>
  </si>
  <si>
    <t>Tema/Descripción</t>
  </si>
  <si>
    <t>Tropics</t>
  </si>
  <si>
    <t>Tropics API e Interfaces</t>
  </si>
  <si>
    <t>Tropics Lic/User</t>
  </si>
  <si>
    <t>Tropics/VWA</t>
  </si>
  <si>
    <t>Verificar alcance a proveedores. Ej. Recolecciones</t>
  </si>
  <si>
    <t>Aplica p/control interno de transportes. Schenker / R9 a Planta.</t>
  </si>
  <si>
    <t>Aplica a transportes internacionales. Brasil a VWA.</t>
  </si>
  <si>
    <t>Tiene capacidad cerrada o es Free. VWA / Proveedores</t>
  </si>
  <si>
    <t>Función Proveedores a través de WEB o App</t>
  </si>
  <si>
    <t>Responsable/Administración de proveedores, ej. Soporte técnico</t>
  </si>
  <si>
    <t>Mesa de ayuda - Mesa gral VWA/Prov.</t>
  </si>
  <si>
    <t>Imput / Modificaciones / Actualizaciones - Ej. Besi / Embalajes / Parametros</t>
  </si>
  <si>
    <t>Extra costos por Criticos - Directos y/o indirectos</t>
  </si>
  <si>
    <t>Alertas de Sistema - Ej. Tipo por demoras</t>
  </si>
  <si>
    <t>Puntos de Referencias para seguimiento - Estandar y/o Especiales</t>
  </si>
  <si>
    <t>Observaciones/Resolución</t>
  </si>
  <si>
    <t>Calendarización de retiros -Flexibilidad - Ej. Días de prod.</t>
  </si>
  <si>
    <t>IT/Log.</t>
  </si>
  <si>
    <t>Business Case</t>
  </si>
  <si>
    <t>Contempla ventanas de descarga en CCR9 / playas externas</t>
  </si>
  <si>
    <t>Ej. Un tte C/hoja de ruta, debe cambiar para retirar un crítico. Como se calculan?</t>
  </si>
  <si>
    <t>Analistas VW o Geolog.</t>
  </si>
  <si>
    <t>Consulta de confirmación de carga, cant de vacios</t>
  </si>
  <si>
    <t>Movimientos interplanta</t>
  </si>
  <si>
    <t>Ttes desde CKD Brasil</t>
  </si>
  <si>
    <t>Administración y cantidades de Usuarios</t>
  </si>
  <si>
    <t>Tiempos de descarga y trazabilidad de hoja de ruta</t>
  </si>
  <si>
    <t>Adaptar el sistema a días de producción semanales</t>
  </si>
  <si>
    <t>Canales de comunicación</t>
  </si>
  <si>
    <t>Ídem anterior, más responsables</t>
  </si>
  <si>
    <t>Analistas GEOLOGÍSTICA - Espació y tiempo</t>
  </si>
  <si>
    <t>Control Room</t>
  </si>
  <si>
    <t xml:space="preserve">Espacio físico e Instalaciones </t>
  </si>
  <si>
    <t>Eassy Gate</t>
  </si>
  <si>
    <t>Ver opciones / especificaciones</t>
  </si>
  <si>
    <t>Comentarios Brasil</t>
  </si>
  <si>
    <t>Evita exceso en recolecciones, respetar el realese. Evitar por ej. Excesos de inv.</t>
  </si>
  <si>
    <t>Si, siempre y cuando la flota tenga GPS (Sea el Tte o el Chofer)</t>
  </si>
  <si>
    <t>Flexible.</t>
  </si>
  <si>
    <t>Pendiente</t>
  </si>
  <si>
    <t>VWB tiene soporte acompañando la producción. VWA debe definir con IT como será el soporte.</t>
  </si>
  <si>
    <t>Solo integración vía SAP, cualquier modificación, el analista debe modificar en SAP.</t>
  </si>
  <si>
    <t>Ingresos de remitos</t>
  </si>
  <si>
    <t>Gate</t>
  </si>
  <si>
    <t>Es automatico con lectura de Patente o se debe corroborar c/idoc</t>
  </si>
  <si>
    <t>Demoras en transito, carga y descarga, otros (Hay medidas?)</t>
  </si>
  <si>
    <t>GPS, Movil, Camaras</t>
  </si>
  <si>
    <t>Kw02</t>
  </si>
  <si>
    <t>Extructura actual en VWB y diferencias entre sí.</t>
  </si>
  <si>
    <t xml:space="preserve">Por tiempo limitado  o permanente? </t>
  </si>
  <si>
    <t>VWB - Implementación conjunta o posterior?</t>
  </si>
  <si>
    <t>Función de Tte, donde justificar xq demora. (Ver adaptación AR)</t>
  </si>
  <si>
    <t xml:space="preserve">Chofer debe realizar Check </t>
  </si>
  <si>
    <t>Tropics tiene funcionalidad similar a Eassy Gate. Ver con GEO</t>
  </si>
  <si>
    <t>VWB - Utiliza Full Service.</t>
  </si>
  <si>
    <t>N/A (Personal de VWA).</t>
  </si>
  <si>
    <t>a Definir.</t>
  </si>
  <si>
    <t>Chofer debe realizar Check. Con la lectura de Tte, cambia de estado y pasa a patío</t>
  </si>
  <si>
    <t>Enrutamiento Avanzado (No alcanzado en la propuesta VWA).</t>
  </si>
  <si>
    <t>Se utiliza o solo pack básico?</t>
  </si>
  <si>
    <t xml:space="preserve">Servicio solo por personal VWB "5Pessoas" As pessoas que temos são part-time. Trabalham no administrativo e não são 100% para o Tropics. </t>
  </si>
  <si>
    <t>Concluido</t>
  </si>
  <si>
    <t>Incluido teóricamente en Propuesta, ver y definir con GEO (Ver costo actual vs propuesta)</t>
  </si>
  <si>
    <t>Limitada, VWB tiene una cantidad de 15000 fletes menuales</t>
  </si>
  <si>
    <t>Ídem anterior punto.</t>
  </si>
  <si>
    <t>Para una criticidad, el Disponente debe cargar un viaje y se facturan en forma individual.</t>
  </si>
  <si>
    <t>El sistema tiene un imput con datos (Ej: horario de comida), Utilizan Eassy Gate para optiizar los ttes.</t>
  </si>
  <si>
    <t>Función de Analista y Torre de Control - Especificaciones</t>
  </si>
  <si>
    <t>Sicop</t>
  </si>
  <si>
    <t>Camaras de Geologistica</t>
  </si>
  <si>
    <t>Validar datos de proteción personal</t>
  </si>
  <si>
    <t>Contacto de sistemas</t>
  </si>
  <si>
    <t>Integrar ambos sistemas Sicop-Tropics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</si>
</sst>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\K\w##"/>
  </numFmts>
  <fonts count="2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6"/>
      <color rgb="FF000000"/>
      <name val="VW Head"/>
      <family val="2"/>
    </font>
    <font>
      <b/>
      <sz val="16"/>
      <name val="VW Head"/>
      <family val="2"/>
    </font>
    <font>
      <sz val="9"/>
      <color theme="1"/>
      <name val="VW Head"/>
      <family val="2"/>
    </font>
    <font>
      <sz val="9"/>
      <name val="VW Head"/>
      <family val="2"/>
    </font>
    <font>
      <sz val="9"/>
      <color rgb="FF000000"/>
      <name val="VW Head"/>
      <family val="2"/>
    </font>
    <font>
      <sz val="9"/>
      <color theme="0" tint="-0.14999847407452621"/>
      <name val="VW Head"/>
      <family val="2"/>
    </font>
    <font>
      <b/>
      <u/>
      <sz val="9"/>
      <color theme="1"/>
      <name val="VW Head"/>
      <family val="2"/>
    </font>
    <font>
      <b/>
      <sz val="9"/>
      <color theme="1"/>
      <name val="VW Head"/>
      <family val="2"/>
    </font>
    <font>
      <sz val="24"/>
      <name val="VW Head"/>
      <family val="2"/>
    </font>
    <font>
      <u/>
      <sz val="11"/>
      <color theme="1"/>
      <name val="Calibri"/>
      <family val="2"/>
      <scheme val="minor"/>
    </font>
    <font>
      <sz val="10"/>
      <color theme="0"/>
      <name val="VW Head"/>
      <family val="2"/>
    </font>
    <font>
      <sz val="9"/>
      <color theme="1"/>
      <name val="Calibri"/>
      <family val="2"/>
    </font>
    <font>
      <sz val="9"/>
      <color theme="0" tint="-0.34998626667073579"/>
      <name val="VW Head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5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quotePrefix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3" fontId="7" fillId="0" borderId="1" xfId="0" applyNumberFormat="1" applyFont="1" applyBorder="1" applyAlignment="1">
      <alignment horizontal="center"/>
    </xf>
    <xf numFmtId="165" fontId="5" fillId="2" borderId="7" xfId="0" quotePrefix="1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right" vertic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11" fillId="0" borderId="1" xfId="0" applyFont="1" applyBorder="1"/>
    <xf numFmtId="164" fontId="7" fillId="0" borderId="1" xfId="0" applyNumberFormat="1" applyFont="1" applyBorder="1" applyAlignment="1">
      <alignment horizontal="center"/>
    </xf>
    <xf numFmtId="165" fontId="5" fillId="0" borderId="0" xfId="0" quotePrefix="1" applyNumberFormat="1" applyFont="1" applyAlignment="1">
      <alignment horizontal="left" vertical="center" wrapText="1"/>
    </xf>
    <xf numFmtId="3" fontId="7" fillId="3" borderId="1" xfId="0" applyNumberFormat="1" applyFont="1" applyFill="1" applyBorder="1" applyAlignment="1">
      <alignment horizontal="center"/>
    </xf>
    <xf numFmtId="0" fontId="15" fillId="3" borderId="8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right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right"/>
    </xf>
    <xf numFmtId="0" fontId="15" fillId="3" borderId="8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7" fillId="0" borderId="0" xfId="0" applyFont="1"/>
    <xf numFmtId="0" fontId="21" fillId="0" borderId="0" xfId="0" applyFont="1"/>
    <xf numFmtId="0" fontId="15" fillId="0" borderId="0" xfId="0" applyFont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164" fontId="15" fillId="3" borderId="11" xfId="0" applyNumberFormat="1" applyFont="1" applyFill="1" applyBorder="1" applyAlignment="1">
      <alignment horizontal="left" vertical="center"/>
    </xf>
    <xf numFmtId="0" fontId="15" fillId="3" borderId="11" xfId="0" applyFont="1" applyFill="1" applyBorder="1" applyAlignment="1">
      <alignment horizontal="left" vertical="center" wrapText="1"/>
    </xf>
    <xf numFmtId="165" fontId="13" fillId="0" borderId="0" xfId="0" applyNumberFormat="1" applyFont="1" applyAlignment="1">
      <alignment horizontal="left"/>
    </xf>
    <xf numFmtId="14" fontId="12" fillId="0" borderId="0" xfId="0" applyNumberFormat="1" applyFont="1" applyAlignment="1">
      <alignment horizontal="center"/>
    </xf>
    <xf numFmtId="14" fontId="12" fillId="0" borderId="0" xfId="0" applyNumberFormat="1" applyFont="1"/>
    <xf numFmtId="0" fontId="14" fillId="0" borderId="0" xfId="0" applyFont="1" applyAlignment="1">
      <alignment horizontal="center" wrapText="1"/>
    </xf>
    <xf numFmtId="0" fontId="15" fillId="0" borderId="0" xfId="0" quotePrefix="1" applyFont="1" applyAlignment="1">
      <alignment horizontal="center"/>
    </xf>
    <xf numFmtId="164" fontId="15" fillId="0" borderId="0" xfId="0" applyNumberFormat="1" applyFont="1" applyAlignment="1">
      <alignment horizontal="center" wrapText="1"/>
    </xf>
    <xf numFmtId="0" fontId="22" fillId="4" borderId="1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165" fontId="15" fillId="3" borderId="13" xfId="0" applyNumberFormat="1" applyFont="1" applyFill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165" fontId="15" fillId="3" borderId="14" xfId="0" applyNumberFormat="1" applyFont="1" applyFill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 wrapText="1"/>
    </xf>
    <xf numFmtId="165" fontId="15" fillId="3" borderId="14" xfId="0" applyNumberFormat="1" applyFont="1" applyFill="1" applyBorder="1" applyAlignment="1">
      <alignment horizontal="center" vertical="center" wrapText="1"/>
    </xf>
    <xf numFmtId="165" fontId="15" fillId="3" borderId="8" xfId="0" applyNumberFormat="1" applyFont="1" applyFill="1" applyBorder="1" applyAlignment="1">
      <alignment horizontal="center" vertical="center"/>
    </xf>
    <xf numFmtId="165" fontId="15" fillId="0" borderId="11" xfId="0" applyNumberFormat="1" applyFont="1" applyBorder="1" applyAlignment="1">
      <alignment horizontal="center" vertical="center"/>
    </xf>
    <xf numFmtId="165" fontId="15" fillId="3" borderId="11" xfId="0" applyNumberFormat="1" applyFont="1" applyFill="1" applyBorder="1" applyAlignment="1">
      <alignment horizontal="center" vertical="center"/>
    </xf>
    <xf numFmtId="165" fontId="15" fillId="0" borderId="11" xfId="0" applyNumberFormat="1" applyFont="1" applyBorder="1" applyAlignment="1">
      <alignment horizontal="center" vertical="center" wrapText="1"/>
    </xf>
    <xf numFmtId="165" fontId="15" fillId="3" borderId="11" xfId="0" applyNumberFormat="1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3" borderId="12" xfId="0" quotePrefix="1" applyFont="1" applyFill="1" applyBorder="1" applyAlignment="1">
      <alignment horizontal="left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15" fillId="6" borderId="12" xfId="0" quotePrefix="1" applyFont="1" applyFill="1" applyBorder="1" applyAlignment="1">
      <alignment horizontal="left" vertical="center" wrapText="1"/>
    </xf>
    <xf numFmtId="0" fontId="24" fillId="0" borderId="16" xfId="0" quotePrefix="1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15" fillId="8" borderId="12" xfId="0" applyFont="1" applyFill="1" applyBorder="1" applyAlignment="1">
      <alignment horizontal="left" vertical="center" wrapText="1"/>
    </xf>
    <xf numFmtId="0" fontId="23" fillId="9" borderId="0" xfId="0" applyFont="1" applyFill="1"/>
    <xf numFmtId="0" fontId="14" fillId="9" borderId="0" xfId="0" applyFont="1" applyFill="1"/>
    <xf numFmtId="0" fontId="15" fillId="10" borderId="12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20" fillId="0" borderId="15" xfId="0" applyFont="1" applyBorder="1" applyAlignment="1">
      <alignment horizontal="center"/>
    </xf>
    <xf numFmtId="165" fontId="15" fillId="8" borderId="11" xfId="0" applyNumberFormat="1" applyFont="1" applyFill="1" applyBorder="1" applyAlignment="1">
      <alignment horizontal="center" vertical="center" wrapText="1"/>
    </xf>
    <xf numFmtId="165" fontId="15" fillId="8" borderId="14" xfId="0" applyNumberFormat="1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left" vertical="center" wrapText="1"/>
    </xf>
    <xf numFmtId="0" fontId="15" fillId="8" borderId="11" xfId="0" applyFont="1" applyFill="1" applyBorder="1" applyAlignment="1">
      <alignment horizontal="center" vertical="center" wrapText="1"/>
    </xf>
    <xf numFmtId="0" fontId="15" fillId="8" borderId="12" xfId="0" quotePrefix="1" applyFont="1" applyFill="1" applyBorder="1" applyAlignment="1">
      <alignment horizontal="left" vertical="center" wrapText="1"/>
    </xf>
    <xf numFmtId="0" fontId="14" fillId="7" borderId="17" xfId="0" applyFont="1" applyFill="1" applyBorder="1"/>
    <xf numFmtId="0" fontId="14" fillId="7" borderId="18" xfId="0" applyFont="1" applyFill="1" applyBorder="1"/>
    <xf numFmtId="0" fontId="14" fillId="0" borderId="17" xfId="0" applyFont="1" applyBorder="1"/>
    <xf numFmtId="0" fontId="15" fillId="3" borderId="20" xfId="0" applyFont="1" applyFill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23" fillId="9" borderId="19" xfId="0" applyFont="1" applyFill="1" applyBorder="1"/>
    <xf numFmtId="0" fontId="23" fillId="9" borderId="21" xfId="0" applyFont="1" applyFill="1" applyBorder="1"/>
    <xf numFmtId="0" fontId="23" fillId="9" borderId="17" xfId="0" applyFont="1" applyFill="1" applyBorder="1"/>
    <xf numFmtId="0" fontId="23" fillId="6" borderId="18" xfId="0" applyFont="1" applyFill="1" applyBorder="1"/>
    <xf numFmtId="0" fontId="23" fillId="9" borderId="18" xfId="0" applyFont="1" applyFill="1" applyBorder="1"/>
    <xf numFmtId="0" fontId="14" fillId="0" borderId="18" xfId="0" applyFont="1" applyBorder="1"/>
    <xf numFmtId="0" fontId="14" fillId="0" borderId="22" xfId="0" applyFont="1" applyBorder="1"/>
    <xf numFmtId="0" fontId="14" fillId="0" borderId="23" xfId="0" applyFont="1" applyBorder="1"/>
  </cellXfs>
  <cellStyles count="2">
    <cellStyle name="Normal" xfId="0" builtinId="0"/>
    <cellStyle name="Normal 40 2" xfId="1" xr:uid="{00000000-0005-0000-0000-000001000000}"/>
  </cellStyles>
  <dxfs count="0"/>
  <tableStyles count="0" defaultTableStyle="TableStyleMedium2" defaultPivotStyle="PivotStyleLight16"/>
  <colors>
    <mruColors>
      <color rgb="FFCCCCFF"/>
      <color rgb="FFCC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3019-8134-4390-BEAC-E03C7E223C18}">
  <sheetPr>
    <tabColor theme="0" tint="-0.14999847407452621"/>
  </sheetPr>
  <dimension ref="A2:J29"/>
  <sheetViews>
    <sheetView topLeftCell="A4" workbookViewId="0">
      <selection activeCell="J18" sqref="J18"/>
    </sheetView>
  </sheetViews>
  <sheetFormatPr baseColWidth="10" defaultColWidth="11.42578125" defaultRowHeight="15" x14ac:dyDescent="0.25"/>
  <cols>
    <col min="1" max="1" width="28.5703125" customWidth="1"/>
    <col min="4" max="8" width="14.28515625" customWidth="1"/>
    <col min="9" max="9" width="11.28515625" customWidth="1"/>
  </cols>
  <sheetData>
    <row r="2" spans="1:10" ht="26.25" x14ac:dyDescent="0.4">
      <c r="A2" s="5" t="s">
        <v>14</v>
      </c>
      <c r="B2" s="6"/>
      <c r="C2" s="6"/>
      <c r="D2" s="6"/>
      <c r="E2" s="6"/>
      <c r="F2" s="6"/>
      <c r="G2" s="6"/>
      <c r="H2" s="6"/>
    </row>
    <row r="3" spans="1:10" ht="15.75" thickBot="1" x14ac:dyDescent="0.3"/>
    <row r="4" spans="1:10" ht="21.75" thickBot="1" x14ac:dyDescent="0.3">
      <c r="A4" s="7" t="s">
        <v>15</v>
      </c>
      <c r="B4" s="8"/>
      <c r="C4" s="8"/>
      <c r="F4" s="24"/>
      <c r="G4" s="19" t="s">
        <v>57</v>
      </c>
      <c r="H4" s="18">
        <v>12</v>
      </c>
    </row>
    <row r="6" spans="1:10" ht="31.5" x14ac:dyDescent="0.25">
      <c r="A6" s="87" t="s">
        <v>16</v>
      </c>
      <c r="B6" s="88"/>
      <c r="C6" s="9" t="s">
        <v>60</v>
      </c>
      <c r="D6" s="9" t="s">
        <v>17</v>
      </c>
      <c r="E6" s="10" t="s">
        <v>18</v>
      </c>
      <c r="F6" s="9" t="s">
        <v>61</v>
      </c>
      <c r="G6" s="9" t="s">
        <v>17</v>
      </c>
      <c r="H6" s="10" t="s">
        <v>18</v>
      </c>
    </row>
    <row r="7" spans="1:10" ht="18.75" x14ac:dyDescent="0.3">
      <c r="A7" s="11" t="s">
        <v>19</v>
      </c>
      <c r="B7" s="11"/>
      <c r="C7" s="25">
        <f>+C8+C9+C10+C11</f>
        <v>733</v>
      </c>
      <c r="D7" s="17">
        <f>+D8+D9+D10+D11</f>
        <v>1267</v>
      </c>
      <c r="E7" s="12">
        <f t="shared" ref="E7:E23" si="0">+D7-C7</f>
        <v>534</v>
      </c>
      <c r="F7" s="25">
        <f>+F8+F9+F10+F11</f>
        <v>711</v>
      </c>
      <c r="G7" s="17">
        <f>+G8+G9+G10+G11</f>
        <v>534</v>
      </c>
      <c r="H7" s="12">
        <f t="shared" ref="H7:H19" si="1">+G7-F7</f>
        <v>-177</v>
      </c>
    </row>
    <row r="8" spans="1:10" ht="18.75" x14ac:dyDescent="0.3">
      <c r="A8" s="13" t="s">
        <v>20</v>
      </c>
      <c r="B8" s="14" t="s">
        <v>7</v>
      </c>
      <c r="C8" s="25">
        <v>100</v>
      </c>
      <c r="D8" s="11">
        <v>200</v>
      </c>
      <c r="E8" s="12">
        <f t="shared" si="0"/>
        <v>100</v>
      </c>
      <c r="F8" s="25">
        <v>100</v>
      </c>
      <c r="G8" s="23">
        <f>+E8</f>
        <v>100</v>
      </c>
      <c r="H8" s="12">
        <f t="shared" si="1"/>
        <v>0</v>
      </c>
    </row>
    <row r="9" spans="1:10" ht="18.75" x14ac:dyDescent="0.3">
      <c r="A9" s="13" t="s">
        <v>21</v>
      </c>
      <c r="B9" s="14" t="s">
        <v>8</v>
      </c>
      <c r="C9" s="21">
        <v>0</v>
      </c>
      <c r="D9" s="11">
        <v>0</v>
      </c>
      <c r="E9" s="12">
        <f t="shared" si="0"/>
        <v>0</v>
      </c>
      <c r="F9" s="21">
        <v>0</v>
      </c>
      <c r="G9" s="11">
        <v>0</v>
      </c>
      <c r="H9" s="12">
        <f t="shared" si="1"/>
        <v>0</v>
      </c>
    </row>
    <row r="10" spans="1:10" ht="18.75" x14ac:dyDescent="0.3">
      <c r="A10" s="13" t="s">
        <v>22</v>
      </c>
      <c r="B10" s="14" t="s">
        <v>6</v>
      </c>
      <c r="C10" s="25">
        <v>434</v>
      </c>
      <c r="D10" s="11">
        <v>937</v>
      </c>
      <c r="E10" s="12">
        <f t="shared" si="0"/>
        <v>503</v>
      </c>
      <c r="F10" s="25">
        <v>503</v>
      </c>
      <c r="G10" s="23">
        <f>+E10</f>
        <v>503</v>
      </c>
      <c r="H10" s="12">
        <f t="shared" si="1"/>
        <v>0</v>
      </c>
    </row>
    <row r="11" spans="1:10" ht="18.75" x14ac:dyDescent="0.3">
      <c r="A11" s="13" t="s">
        <v>23</v>
      </c>
      <c r="B11" s="14"/>
      <c r="C11" s="25">
        <f>SUM(C12:C21)</f>
        <v>199</v>
      </c>
      <c r="D11" s="21">
        <f>SUM(D12:D21)</f>
        <v>130</v>
      </c>
      <c r="E11" s="12">
        <f t="shared" si="0"/>
        <v>-69</v>
      </c>
      <c r="F11" s="25">
        <f>SUM(F12:F21)</f>
        <v>108</v>
      </c>
      <c r="G11" s="21">
        <f>SUM(G12:G21)</f>
        <v>-69</v>
      </c>
      <c r="H11" s="12">
        <f t="shared" si="1"/>
        <v>-177</v>
      </c>
    </row>
    <row r="12" spans="1:10" ht="18.75" x14ac:dyDescent="0.3">
      <c r="A12" s="15" t="s">
        <v>24</v>
      </c>
      <c r="B12" s="14" t="s">
        <v>25</v>
      </c>
      <c r="C12" s="21">
        <v>0</v>
      </c>
      <c r="D12" s="11">
        <v>0</v>
      </c>
      <c r="E12" s="12">
        <f t="shared" si="0"/>
        <v>0</v>
      </c>
      <c r="F12" s="21">
        <v>0</v>
      </c>
      <c r="G12" s="23">
        <f t="shared" ref="G12:G20" si="2">+E12</f>
        <v>0</v>
      </c>
      <c r="H12" s="12">
        <f t="shared" si="1"/>
        <v>0</v>
      </c>
    </row>
    <row r="13" spans="1:10" ht="18.75" x14ac:dyDescent="0.3">
      <c r="A13" s="15" t="s">
        <v>26</v>
      </c>
      <c r="B13" s="14" t="s">
        <v>27</v>
      </c>
      <c r="C13" s="21">
        <v>11</v>
      </c>
      <c r="D13" s="11">
        <v>0</v>
      </c>
      <c r="E13" s="12">
        <f t="shared" si="0"/>
        <v>-11</v>
      </c>
      <c r="F13" s="21">
        <v>4</v>
      </c>
      <c r="G13" s="23">
        <f t="shared" si="2"/>
        <v>-11</v>
      </c>
      <c r="H13" s="12">
        <f t="shared" si="1"/>
        <v>-15</v>
      </c>
    </row>
    <row r="14" spans="1:10" ht="18.75" x14ac:dyDescent="0.3">
      <c r="A14" s="15" t="s">
        <v>28</v>
      </c>
      <c r="B14" s="14" t="s">
        <v>29</v>
      </c>
      <c r="C14" s="21">
        <v>0</v>
      </c>
      <c r="D14" s="11">
        <v>0</v>
      </c>
      <c r="E14" s="12">
        <f t="shared" si="0"/>
        <v>0</v>
      </c>
      <c r="F14" s="21">
        <v>0</v>
      </c>
      <c r="G14" s="23">
        <f t="shared" si="2"/>
        <v>0</v>
      </c>
      <c r="H14" s="12">
        <f t="shared" si="1"/>
        <v>0</v>
      </c>
    </row>
    <row r="15" spans="1:10" ht="18.75" x14ac:dyDescent="0.3">
      <c r="A15" s="15" t="s">
        <v>30</v>
      </c>
      <c r="B15" s="14" t="s">
        <v>31</v>
      </c>
      <c r="C15" s="21">
        <v>98</v>
      </c>
      <c r="D15" s="11">
        <v>0</v>
      </c>
      <c r="E15" s="12">
        <f t="shared" si="0"/>
        <v>-98</v>
      </c>
      <c r="F15" s="21">
        <v>33</v>
      </c>
      <c r="G15" s="23">
        <f t="shared" si="2"/>
        <v>-98</v>
      </c>
      <c r="H15" s="12">
        <f t="shared" si="1"/>
        <v>-131</v>
      </c>
    </row>
    <row r="16" spans="1:10" ht="18.75" x14ac:dyDescent="0.3">
      <c r="A16" s="15" t="s">
        <v>32</v>
      </c>
      <c r="B16" s="14" t="s">
        <v>33</v>
      </c>
      <c r="C16" s="21">
        <v>0</v>
      </c>
      <c r="D16" s="11">
        <v>25</v>
      </c>
      <c r="E16" s="12">
        <f t="shared" si="0"/>
        <v>25</v>
      </c>
      <c r="F16" s="21">
        <v>0</v>
      </c>
      <c r="G16" s="23">
        <f t="shared" si="2"/>
        <v>25</v>
      </c>
      <c r="H16" s="12">
        <f t="shared" si="1"/>
        <v>25</v>
      </c>
      <c r="J16" t="s">
        <v>1</v>
      </c>
    </row>
    <row r="17" spans="1:8" ht="18.75" x14ac:dyDescent="0.3">
      <c r="A17" s="15" t="s">
        <v>34</v>
      </c>
      <c r="B17" s="14" t="s">
        <v>35</v>
      </c>
      <c r="C17" s="21">
        <v>0</v>
      </c>
      <c r="D17" s="11">
        <v>0</v>
      </c>
      <c r="E17" s="12">
        <f t="shared" si="0"/>
        <v>0</v>
      </c>
      <c r="F17" s="21">
        <v>0</v>
      </c>
      <c r="G17" s="23">
        <f t="shared" si="2"/>
        <v>0</v>
      </c>
      <c r="H17" s="12">
        <f t="shared" si="1"/>
        <v>0</v>
      </c>
    </row>
    <row r="18" spans="1:8" ht="18.75" x14ac:dyDescent="0.3">
      <c r="A18" s="15" t="s">
        <v>36</v>
      </c>
      <c r="B18" s="14" t="s">
        <v>37</v>
      </c>
      <c r="C18" s="21">
        <v>0</v>
      </c>
      <c r="D18" s="11">
        <v>0</v>
      </c>
      <c r="E18" s="12">
        <f t="shared" si="0"/>
        <v>0</v>
      </c>
      <c r="F18" s="21">
        <v>0</v>
      </c>
      <c r="G18" s="23">
        <f t="shared" si="2"/>
        <v>0</v>
      </c>
      <c r="H18" s="12">
        <f t="shared" si="1"/>
        <v>0</v>
      </c>
    </row>
    <row r="19" spans="1:8" ht="18.75" x14ac:dyDescent="0.3">
      <c r="A19" s="13" t="s">
        <v>38</v>
      </c>
      <c r="B19" s="14" t="s">
        <v>39</v>
      </c>
      <c r="C19" s="21">
        <v>54</v>
      </c>
      <c r="D19" s="11">
        <v>54</v>
      </c>
      <c r="E19" s="12">
        <f t="shared" si="0"/>
        <v>0</v>
      </c>
      <c r="F19" s="21">
        <v>30</v>
      </c>
      <c r="G19" s="23">
        <f t="shared" si="2"/>
        <v>0</v>
      </c>
      <c r="H19" s="12">
        <f t="shared" si="1"/>
        <v>-30</v>
      </c>
    </row>
    <row r="20" spans="1:8" ht="18.75" x14ac:dyDescent="0.3">
      <c r="A20" s="15" t="s">
        <v>40</v>
      </c>
      <c r="B20" s="14" t="s">
        <v>41</v>
      </c>
      <c r="C20" s="21">
        <v>9</v>
      </c>
      <c r="D20" s="11">
        <v>46</v>
      </c>
      <c r="E20" s="12">
        <f>+D20-C20</f>
        <v>37</v>
      </c>
      <c r="F20" s="21">
        <v>9</v>
      </c>
      <c r="G20" s="23">
        <f t="shared" si="2"/>
        <v>37</v>
      </c>
      <c r="H20" s="12">
        <f t="shared" ref="H20:H28" si="3">+G20-F20</f>
        <v>28</v>
      </c>
    </row>
    <row r="21" spans="1:8" ht="18.75" x14ac:dyDescent="0.3">
      <c r="A21" s="13" t="s">
        <v>42</v>
      </c>
      <c r="B21" s="14"/>
      <c r="C21" s="21">
        <f>SUM(C22:C28)</f>
        <v>27</v>
      </c>
      <c r="D21" s="21">
        <f>SUM(D22:D28)</f>
        <v>5</v>
      </c>
      <c r="E21" s="12">
        <f t="shared" si="0"/>
        <v>-22</v>
      </c>
      <c r="F21" s="21">
        <f>SUM(F22:F28)</f>
        <v>32</v>
      </c>
      <c r="G21" s="21">
        <f>SUM(G22:G28)</f>
        <v>-22</v>
      </c>
      <c r="H21" s="12">
        <f t="shared" si="3"/>
        <v>-54</v>
      </c>
    </row>
    <row r="22" spans="1:8" ht="18.75" x14ac:dyDescent="0.3">
      <c r="A22" s="15" t="s">
        <v>43</v>
      </c>
      <c r="B22" s="14" t="s">
        <v>44</v>
      </c>
      <c r="C22" s="21">
        <v>0</v>
      </c>
      <c r="D22" s="11">
        <v>0</v>
      </c>
      <c r="E22" s="12">
        <f t="shared" si="0"/>
        <v>0</v>
      </c>
      <c r="F22" s="21">
        <v>0</v>
      </c>
      <c r="G22" s="23">
        <f t="shared" ref="G22:G28" si="4">+E22</f>
        <v>0</v>
      </c>
      <c r="H22" s="12">
        <f t="shared" si="3"/>
        <v>0</v>
      </c>
    </row>
    <row r="23" spans="1:8" ht="18.75" x14ac:dyDescent="0.3">
      <c r="A23" s="15" t="s">
        <v>45</v>
      </c>
      <c r="B23" s="14" t="s">
        <v>46</v>
      </c>
      <c r="C23" s="21">
        <v>0</v>
      </c>
      <c r="D23" s="11">
        <v>0</v>
      </c>
      <c r="E23" s="12">
        <f t="shared" si="0"/>
        <v>0</v>
      </c>
      <c r="F23" s="21">
        <v>0</v>
      </c>
      <c r="G23" s="23">
        <f t="shared" si="4"/>
        <v>0</v>
      </c>
      <c r="H23" s="12">
        <f t="shared" si="3"/>
        <v>0</v>
      </c>
    </row>
    <row r="24" spans="1:8" ht="18.75" x14ac:dyDescent="0.3">
      <c r="A24" s="15" t="s">
        <v>47</v>
      </c>
      <c r="B24" s="14" t="s">
        <v>48</v>
      </c>
      <c r="C24" s="21">
        <v>0</v>
      </c>
      <c r="D24" s="11">
        <v>0</v>
      </c>
      <c r="E24" s="12">
        <f>+D24-C24</f>
        <v>0</v>
      </c>
      <c r="F24" s="21">
        <v>0</v>
      </c>
      <c r="G24" s="23">
        <f t="shared" si="4"/>
        <v>0</v>
      </c>
      <c r="H24" s="12">
        <f t="shared" si="3"/>
        <v>0</v>
      </c>
    </row>
    <row r="25" spans="1:8" ht="18.75" x14ac:dyDescent="0.3">
      <c r="A25" s="15" t="s">
        <v>49</v>
      </c>
      <c r="B25" s="14" t="s">
        <v>50</v>
      </c>
      <c r="C25" s="21">
        <v>4</v>
      </c>
      <c r="D25" s="11">
        <v>0</v>
      </c>
      <c r="E25" s="12">
        <f>+D25-C25</f>
        <v>-4</v>
      </c>
      <c r="F25" s="21">
        <v>1</v>
      </c>
      <c r="G25" s="23">
        <f t="shared" si="4"/>
        <v>-4</v>
      </c>
      <c r="H25" s="12">
        <f t="shared" si="3"/>
        <v>-5</v>
      </c>
    </row>
    <row r="26" spans="1:8" ht="18.75" x14ac:dyDescent="0.3">
      <c r="A26" s="15" t="s">
        <v>51</v>
      </c>
      <c r="B26" s="14" t="s">
        <v>52</v>
      </c>
      <c r="C26" s="21">
        <v>0</v>
      </c>
      <c r="D26" s="11">
        <v>0</v>
      </c>
      <c r="E26" s="12">
        <f>+D26-C26</f>
        <v>0</v>
      </c>
      <c r="F26" s="21">
        <v>0</v>
      </c>
      <c r="G26" s="23">
        <f t="shared" si="4"/>
        <v>0</v>
      </c>
      <c r="H26" s="12">
        <f t="shared" si="3"/>
        <v>0</v>
      </c>
    </row>
    <row r="27" spans="1:8" ht="18.75" x14ac:dyDescent="0.3">
      <c r="A27" s="15" t="s">
        <v>53</v>
      </c>
      <c r="B27" s="14" t="s">
        <v>54</v>
      </c>
      <c r="C27" s="21">
        <v>23</v>
      </c>
      <c r="D27" s="11">
        <v>5</v>
      </c>
      <c r="E27" s="12">
        <f>+D27-C27</f>
        <v>-18</v>
      </c>
      <c r="F27" s="21">
        <v>31</v>
      </c>
      <c r="G27" s="23">
        <f t="shared" si="4"/>
        <v>-18</v>
      </c>
      <c r="H27" s="12">
        <f t="shared" si="3"/>
        <v>-49</v>
      </c>
    </row>
    <row r="28" spans="1:8" ht="18.75" x14ac:dyDescent="0.3">
      <c r="A28" s="15" t="s">
        <v>55</v>
      </c>
      <c r="B28" s="14" t="s">
        <v>56</v>
      </c>
      <c r="C28" s="21">
        <v>0</v>
      </c>
      <c r="D28" s="11">
        <v>0</v>
      </c>
      <c r="E28" s="12">
        <f>+D28-C28</f>
        <v>0</v>
      </c>
      <c r="F28" s="21">
        <v>0</v>
      </c>
      <c r="G28" s="23">
        <f t="shared" si="4"/>
        <v>0</v>
      </c>
      <c r="H28" s="12">
        <f t="shared" si="3"/>
        <v>0</v>
      </c>
    </row>
    <row r="29" spans="1:8" ht="18.75" x14ac:dyDescent="0.3">
      <c r="A29" s="16"/>
      <c r="B29" s="14"/>
      <c r="C29" s="11"/>
      <c r="D29" s="11"/>
      <c r="E29" s="12"/>
      <c r="F29" s="11"/>
      <c r="G29" s="11"/>
      <c r="H29" s="12"/>
    </row>
  </sheetData>
  <mergeCells count="1">
    <mergeCell ref="A6:B6"/>
  </mergeCells>
  <pageMargins left="0.7" right="0.7" top="0.75" bottom="0.75" header="0.3" footer="0.3"/>
  <pageSetup paperSize="9" orientation="portrait" verticalDpi="0" r:id="rId1"/>
  <headerFooter>
    <oddHeader>&amp;L&amp;"Arial"&amp;8&amp;K000000INTERNAL&amp;1#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T54"/>
  <sheetViews>
    <sheetView showGridLines="0" tabSelected="1" view="pageBreakPreview" zoomScaleNormal="90" zoomScaleSheetLayoutView="100" workbookViewId="0">
      <pane xSplit="4" ySplit="5" topLeftCell="E12" activePane="bottomRight" state="frozen"/>
      <selection pane="topRight" activeCell="E1" sqref="E1"/>
      <selection pane="bottomLeft" activeCell="A6" sqref="A6"/>
      <selection pane="bottomRight" activeCell="I28" sqref="I28"/>
    </sheetView>
  </sheetViews>
  <sheetFormatPr baseColWidth="10" defaultColWidth="11.42578125" defaultRowHeight="15" customHeight="1" x14ac:dyDescent="0.2"/>
  <cols>
    <col min="1" max="1" width="2.85546875" style="31" customWidth="1"/>
    <col min="2" max="2" width="5.28515625" style="31" customWidth="1"/>
    <col min="3" max="3" width="19.28515625" style="32" customWidth="1"/>
    <col min="4" max="4" width="59.5703125" style="33" bestFit="1" customWidth="1"/>
    <col min="5" max="5" width="12.7109375" style="33" customWidth="1"/>
    <col min="6" max="6" width="9.28515625" style="33" customWidth="1"/>
    <col min="7" max="7" width="11.28515625" style="32" customWidth="1"/>
    <col min="8" max="8" width="11.42578125" style="32" customWidth="1"/>
    <col min="9" max="9" width="53.28515625" style="31" customWidth="1"/>
    <col min="10" max="10" width="0.7109375" style="31" customWidth="1"/>
    <col min="11" max="11" width="110.140625" style="31" bestFit="1" customWidth="1"/>
    <col min="12" max="12" width="12.7109375" style="31" bestFit="1" customWidth="1"/>
    <col min="13" max="14" width="11.42578125" style="31"/>
    <col min="15" max="15" width="10.7109375" style="31" customWidth="1"/>
    <col min="16" max="17" width="11.42578125" style="31"/>
    <col min="18" max="18" width="14.42578125" style="31" customWidth="1"/>
    <col min="19" max="19" width="20" style="31" customWidth="1"/>
    <col min="20" max="21" width="11.42578125" style="31"/>
    <col min="22" max="23" width="10.7109375" style="31" customWidth="1"/>
    <col min="24" max="16384" width="11.42578125" style="31"/>
  </cols>
  <sheetData>
    <row r="1" spans="1:20" ht="12" x14ac:dyDescent="0.2"/>
    <row r="2" spans="1:20" ht="30" x14ac:dyDescent="0.4">
      <c r="B2" s="90" t="s">
        <v>63</v>
      </c>
      <c r="C2" s="90"/>
      <c r="D2" s="90"/>
      <c r="E2" s="90"/>
      <c r="F2" s="90"/>
      <c r="G2" s="90"/>
      <c r="H2" s="90"/>
      <c r="I2" s="90"/>
    </row>
    <row r="3" spans="1:20" ht="24" customHeight="1" x14ac:dyDescent="0.3">
      <c r="B3" s="89" t="s">
        <v>65</v>
      </c>
      <c r="C3" s="89"/>
      <c r="D3" s="56">
        <v>43</v>
      </c>
      <c r="E3" s="31"/>
      <c r="F3" s="31"/>
      <c r="G3" s="57"/>
      <c r="H3" s="31"/>
      <c r="I3" s="58">
        <v>45954</v>
      </c>
      <c r="J3" s="34"/>
    </row>
    <row r="4" spans="1:20" ht="2.25" customHeight="1" x14ac:dyDescent="0.2">
      <c r="B4" s="59"/>
      <c r="C4" s="60"/>
      <c r="D4" s="60"/>
      <c r="E4" s="61"/>
      <c r="F4" s="61"/>
      <c r="G4" s="61"/>
      <c r="H4" s="61"/>
      <c r="T4" s="35"/>
    </row>
    <row r="5" spans="1:20" ht="47.25" customHeight="1" x14ac:dyDescent="0.2">
      <c r="A5" s="85"/>
      <c r="B5" s="62" t="s">
        <v>64</v>
      </c>
      <c r="C5" s="63" t="s">
        <v>72</v>
      </c>
      <c r="D5" s="64" t="s">
        <v>66</v>
      </c>
      <c r="E5" s="62" t="s">
        <v>67</v>
      </c>
      <c r="F5" s="79" t="s">
        <v>68</v>
      </c>
      <c r="G5" s="62" t="s">
        <v>0</v>
      </c>
      <c r="H5" s="63" t="s">
        <v>69</v>
      </c>
      <c r="I5" s="64" t="s">
        <v>88</v>
      </c>
      <c r="J5" s="50"/>
      <c r="K5" s="64" t="s">
        <v>108</v>
      </c>
      <c r="T5" s="35"/>
    </row>
    <row r="6" spans="1:20" ht="20.25" customHeight="1" x14ac:dyDescent="0.2">
      <c r="A6" s="105"/>
      <c r="B6" s="102">
        <v>1</v>
      </c>
      <c r="C6" s="41" t="s">
        <v>71</v>
      </c>
      <c r="D6" s="52" t="s">
        <v>77</v>
      </c>
      <c r="E6" s="26" t="s">
        <v>73</v>
      </c>
      <c r="F6" s="65">
        <v>48</v>
      </c>
      <c r="G6" s="51" t="s">
        <v>1</v>
      </c>
      <c r="H6" s="70"/>
      <c r="I6" s="77" t="s">
        <v>95</v>
      </c>
      <c r="K6" s="77" t="s">
        <v>109</v>
      </c>
      <c r="T6" s="35"/>
    </row>
    <row r="7" spans="1:20" ht="20.25" customHeight="1" x14ac:dyDescent="0.2">
      <c r="A7" s="106"/>
      <c r="B7" s="103">
        <v>2</v>
      </c>
      <c r="C7" s="27" t="s">
        <v>74</v>
      </c>
      <c r="D7" s="53" t="s">
        <v>78</v>
      </c>
      <c r="E7" s="28" t="s">
        <v>73</v>
      </c>
      <c r="F7" s="66">
        <v>48</v>
      </c>
      <c r="G7" s="42" t="s">
        <v>1</v>
      </c>
      <c r="H7" s="71"/>
      <c r="I7" s="76" t="s">
        <v>96</v>
      </c>
      <c r="K7" s="76" t="s">
        <v>135</v>
      </c>
      <c r="T7" s="35"/>
    </row>
    <row r="8" spans="1:20" ht="20.25" customHeight="1" x14ac:dyDescent="0.2">
      <c r="A8" s="105"/>
      <c r="B8" s="104">
        <v>3</v>
      </c>
      <c r="C8" s="30" t="s">
        <v>73</v>
      </c>
      <c r="D8" s="54" t="s">
        <v>79</v>
      </c>
      <c r="E8" s="30" t="s">
        <v>73</v>
      </c>
      <c r="F8" s="67">
        <v>48</v>
      </c>
      <c r="G8" s="43" t="s">
        <v>1</v>
      </c>
      <c r="H8" s="72"/>
      <c r="I8" s="75" t="s">
        <v>97</v>
      </c>
      <c r="K8" s="75" t="s">
        <v>110</v>
      </c>
      <c r="T8" s="35"/>
    </row>
    <row r="9" spans="1:20" ht="20.25" customHeight="1" x14ac:dyDescent="0.2">
      <c r="A9" s="106"/>
      <c r="B9" s="103">
        <v>4</v>
      </c>
      <c r="C9" s="27" t="s">
        <v>75</v>
      </c>
      <c r="D9" s="53" t="s">
        <v>80</v>
      </c>
      <c r="E9" s="28" t="s">
        <v>73</v>
      </c>
      <c r="F9" s="66">
        <v>48</v>
      </c>
      <c r="G9" s="42" t="s">
        <v>1</v>
      </c>
      <c r="H9" s="71"/>
      <c r="I9" s="76" t="s">
        <v>98</v>
      </c>
      <c r="K9" s="76" t="s">
        <v>136</v>
      </c>
      <c r="T9" s="35"/>
    </row>
    <row r="10" spans="1:20" ht="20.25" customHeight="1" x14ac:dyDescent="0.2">
      <c r="A10" s="105"/>
      <c r="B10" s="104">
        <v>5</v>
      </c>
      <c r="C10" s="30" t="s">
        <v>73</v>
      </c>
      <c r="D10" s="54" t="s">
        <v>92</v>
      </c>
      <c r="E10" s="30" t="s">
        <v>76</v>
      </c>
      <c r="F10" s="67">
        <v>48</v>
      </c>
      <c r="G10" s="43" t="s">
        <v>1</v>
      </c>
      <c r="H10" s="72"/>
      <c r="I10" s="75" t="s">
        <v>99</v>
      </c>
      <c r="K10" s="75" t="s">
        <v>139</v>
      </c>
      <c r="T10" s="35"/>
    </row>
    <row r="11" spans="1:20" ht="20.25" customHeight="1" x14ac:dyDescent="0.2">
      <c r="A11" s="107"/>
      <c r="B11" s="44">
        <v>6</v>
      </c>
      <c r="C11" s="28" t="s">
        <v>73</v>
      </c>
      <c r="D11" s="53" t="s">
        <v>89</v>
      </c>
      <c r="E11" s="28" t="s">
        <v>76</v>
      </c>
      <c r="F11" s="66">
        <v>48</v>
      </c>
      <c r="G11" s="42" t="s">
        <v>1</v>
      </c>
      <c r="H11" s="71"/>
      <c r="I11" s="76" t="s">
        <v>100</v>
      </c>
      <c r="K11" s="76" t="s">
        <v>111</v>
      </c>
      <c r="T11" s="35"/>
    </row>
    <row r="12" spans="1:20" ht="20.25" customHeight="1" x14ac:dyDescent="0.2">
      <c r="A12" s="108"/>
      <c r="B12" s="45">
        <v>7</v>
      </c>
      <c r="C12" s="30" t="s">
        <v>73</v>
      </c>
      <c r="D12" s="54" t="s">
        <v>81</v>
      </c>
      <c r="E12" s="30" t="s">
        <v>76</v>
      </c>
      <c r="F12" s="67">
        <v>48</v>
      </c>
      <c r="G12" s="43" t="s">
        <v>4</v>
      </c>
      <c r="H12" s="72"/>
      <c r="I12" s="78" t="s">
        <v>2</v>
      </c>
      <c r="K12" s="80" t="s">
        <v>112</v>
      </c>
      <c r="T12" s="35"/>
    </row>
    <row r="13" spans="1:20" ht="20.25" customHeight="1" x14ac:dyDescent="0.2">
      <c r="A13" s="84"/>
      <c r="B13" s="44">
        <v>8</v>
      </c>
      <c r="C13" s="28" t="s">
        <v>73</v>
      </c>
      <c r="D13" s="53" t="s">
        <v>82</v>
      </c>
      <c r="E13" s="28" t="s">
        <v>73</v>
      </c>
      <c r="F13" s="68">
        <v>48</v>
      </c>
      <c r="G13" s="42" t="s">
        <v>4</v>
      </c>
      <c r="H13" s="71"/>
      <c r="I13" s="76" t="s">
        <v>101</v>
      </c>
      <c r="K13" s="76" t="s">
        <v>113</v>
      </c>
      <c r="T13" s="81" t="s">
        <v>2</v>
      </c>
    </row>
    <row r="14" spans="1:20" ht="20.25" customHeight="1" x14ac:dyDescent="0.2">
      <c r="A14" s="107"/>
      <c r="B14" s="45">
        <v>9</v>
      </c>
      <c r="C14" s="30" t="s">
        <v>73</v>
      </c>
      <c r="D14" s="55" t="s">
        <v>83</v>
      </c>
      <c r="E14" s="30" t="s">
        <v>73</v>
      </c>
      <c r="F14" s="69">
        <v>48</v>
      </c>
      <c r="G14" s="43" t="s">
        <v>4</v>
      </c>
      <c r="H14" s="72"/>
      <c r="I14" s="75" t="s">
        <v>102</v>
      </c>
      <c r="K14" s="75" t="s">
        <v>137</v>
      </c>
      <c r="T14" s="81"/>
    </row>
    <row r="15" spans="1:20" ht="20.25" customHeight="1" x14ac:dyDescent="0.2">
      <c r="A15" s="107"/>
      <c r="B15" s="44">
        <v>10</v>
      </c>
      <c r="C15" s="28" t="s">
        <v>73</v>
      </c>
      <c r="D15" s="53" t="s">
        <v>84</v>
      </c>
      <c r="E15" s="28" t="s">
        <v>76</v>
      </c>
      <c r="F15" s="68">
        <v>48</v>
      </c>
      <c r="G15" s="42" t="s">
        <v>1</v>
      </c>
      <c r="H15" s="71"/>
      <c r="I15" s="76" t="s">
        <v>94</v>
      </c>
      <c r="K15" s="76" t="s">
        <v>114</v>
      </c>
      <c r="T15" s="82" t="s">
        <v>5</v>
      </c>
    </row>
    <row r="16" spans="1:20" ht="24" x14ac:dyDescent="0.2">
      <c r="A16" s="107"/>
      <c r="B16" s="46">
        <v>11</v>
      </c>
      <c r="C16" s="30" t="s">
        <v>73</v>
      </c>
      <c r="D16" s="55" t="s">
        <v>85</v>
      </c>
      <c r="E16" s="30" t="s">
        <v>76</v>
      </c>
      <c r="F16" s="69">
        <v>48</v>
      </c>
      <c r="G16" s="43" t="s">
        <v>1</v>
      </c>
      <c r="H16" s="72"/>
      <c r="I16" s="75" t="s">
        <v>93</v>
      </c>
      <c r="K16" s="75" t="s">
        <v>138</v>
      </c>
      <c r="T16" s="81" t="s">
        <v>10</v>
      </c>
    </row>
    <row r="17" spans="1:20" ht="20.25" customHeight="1" x14ac:dyDescent="0.2">
      <c r="A17" s="107"/>
      <c r="B17" s="47">
        <v>12</v>
      </c>
      <c r="C17" s="28" t="s">
        <v>73</v>
      </c>
      <c r="D17" s="53" t="s">
        <v>86</v>
      </c>
      <c r="E17" s="28" t="s">
        <v>73</v>
      </c>
      <c r="F17" s="68">
        <v>48</v>
      </c>
      <c r="G17" s="42" t="s">
        <v>4</v>
      </c>
      <c r="H17" s="71"/>
      <c r="I17" s="76" t="s">
        <v>118</v>
      </c>
      <c r="K17" s="76" t="s">
        <v>124</v>
      </c>
      <c r="T17" s="82" t="s">
        <v>11</v>
      </c>
    </row>
    <row r="18" spans="1:20" ht="20.25" customHeight="1" x14ac:dyDescent="0.2">
      <c r="A18" s="107"/>
      <c r="B18" s="45">
        <v>13</v>
      </c>
      <c r="C18" s="30" t="s">
        <v>73</v>
      </c>
      <c r="D18" s="55" t="s">
        <v>87</v>
      </c>
      <c r="E18" s="30" t="s">
        <v>73</v>
      </c>
      <c r="F18" s="69">
        <v>48</v>
      </c>
      <c r="G18" s="43" t="s">
        <v>1</v>
      </c>
      <c r="H18" s="72"/>
      <c r="I18" s="78" t="s">
        <v>119</v>
      </c>
      <c r="K18" s="78" t="s">
        <v>125</v>
      </c>
      <c r="T18" s="82"/>
    </row>
    <row r="19" spans="1:20" ht="20.25" customHeight="1" x14ac:dyDescent="0.2">
      <c r="A19" s="109"/>
      <c r="B19" s="44">
        <v>14</v>
      </c>
      <c r="C19" s="28" t="s">
        <v>73</v>
      </c>
      <c r="D19" s="53" t="s">
        <v>140</v>
      </c>
      <c r="E19" s="28" t="s">
        <v>73</v>
      </c>
      <c r="F19" s="68">
        <v>48</v>
      </c>
      <c r="G19" s="42" t="s">
        <v>4</v>
      </c>
      <c r="H19" s="71"/>
      <c r="I19" s="76" t="s">
        <v>121</v>
      </c>
      <c r="K19" s="86" t="s">
        <v>133</v>
      </c>
      <c r="T19" s="81"/>
    </row>
    <row r="20" spans="1:20" ht="20.25" customHeight="1" x14ac:dyDescent="0.2">
      <c r="A20" s="84"/>
      <c r="B20" s="45">
        <v>15</v>
      </c>
      <c r="C20" s="30" t="s">
        <v>73</v>
      </c>
      <c r="D20" s="55" t="s">
        <v>103</v>
      </c>
      <c r="E20" s="30" t="s">
        <v>73</v>
      </c>
      <c r="F20" s="69">
        <v>48</v>
      </c>
      <c r="G20" s="43" t="s">
        <v>1</v>
      </c>
      <c r="H20" s="72"/>
      <c r="I20" s="75" t="s">
        <v>122</v>
      </c>
      <c r="K20" s="75" t="s">
        <v>128</v>
      </c>
      <c r="T20" s="36"/>
    </row>
    <row r="21" spans="1:20" ht="20.25" customHeight="1" x14ac:dyDescent="0.2">
      <c r="A21" s="99"/>
      <c r="B21" s="94">
        <v>16</v>
      </c>
      <c r="C21" s="95" t="s">
        <v>73</v>
      </c>
      <c r="D21" s="96" t="s">
        <v>91</v>
      </c>
      <c r="E21" s="97" t="s">
        <v>90</v>
      </c>
      <c r="F21" s="92">
        <v>48</v>
      </c>
      <c r="G21" s="93" t="s">
        <v>1</v>
      </c>
      <c r="H21" s="91"/>
      <c r="I21" s="83" t="s">
        <v>134</v>
      </c>
      <c r="K21" s="83" t="s">
        <v>134</v>
      </c>
    </row>
    <row r="22" spans="1:20" ht="20.25" customHeight="1" x14ac:dyDescent="0.2">
      <c r="A22" s="100"/>
      <c r="B22" s="94">
        <v>17</v>
      </c>
      <c r="C22" s="97" t="s">
        <v>104</v>
      </c>
      <c r="D22" s="96" t="s">
        <v>105</v>
      </c>
      <c r="E22" s="97" t="s">
        <v>90</v>
      </c>
      <c r="F22" s="92">
        <v>48</v>
      </c>
      <c r="G22" s="93" t="s">
        <v>1</v>
      </c>
      <c r="H22" s="91"/>
      <c r="I22" s="83" t="s">
        <v>107</v>
      </c>
      <c r="K22" s="83" t="s">
        <v>129</v>
      </c>
    </row>
    <row r="23" spans="1:20" ht="20.25" customHeight="1" x14ac:dyDescent="0.2">
      <c r="A23" s="84"/>
      <c r="B23" s="47">
        <v>18</v>
      </c>
      <c r="C23" s="28" t="s">
        <v>73</v>
      </c>
      <c r="D23" s="53" t="s">
        <v>106</v>
      </c>
      <c r="E23" s="27" t="s">
        <v>90</v>
      </c>
      <c r="F23" s="68">
        <v>49</v>
      </c>
      <c r="G23" s="42" t="s">
        <v>4</v>
      </c>
      <c r="H23" s="73"/>
      <c r="I23" s="76" t="s">
        <v>123</v>
      </c>
      <c r="K23" s="76" t="s">
        <v>126</v>
      </c>
    </row>
    <row r="24" spans="1:20" ht="20.25" customHeight="1" x14ac:dyDescent="0.2">
      <c r="A24" s="99"/>
      <c r="B24" s="94">
        <v>19</v>
      </c>
      <c r="C24" s="95" t="s">
        <v>116</v>
      </c>
      <c r="D24" s="96" t="s">
        <v>115</v>
      </c>
      <c r="E24" s="95" t="s">
        <v>73</v>
      </c>
      <c r="F24" s="92">
        <v>49</v>
      </c>
      <c r="G24" s="93" t="s">
        <v>1</v>
      </c>
      <c r="H24" s="91"/>
      <c r="I24" s="83" t="s">
        <v>117</v>
      </c>
      <c r="K24" s="98" t="s">
        <v>130</v>
      </c>
    </row>
    <row r="25" spans="1:20" ht="20.25" customHeight="1" x14ac:dyDescent="0.2">
      <c r="A25" s="99"/>
      <c r="B25" s="94">
        <v>20</v>
      </c>
      <c r="C25" s="95" t="s">
        <v>73</v>
      </c>
      <c r="D25" s="96" t="s">
        <v>131</v>
      </c>
      <c r="E25" s="95" t="s">
        <v>73</v>
      </c>
      <c r="F25" s="92" t="s">
        <v>120</v>
      </c>
      <c r="G25" s="93" t="s">
        <v>1</v>
      </c>
      <c r="H25" s="91"/>
      <c r="I25" s="83" t="s">
        <v>132</v>
      </c>
      <c r="K25" s="86" t="s">
        <v>127</v>
      </c>
    </row>
    <row r="26" spans="1:20" ht="20.25" customHeight="1" x14ac:dyDescent="0.2">
      <c r="A26" s="101"/>
      <c r="B26" s="46">
        <v>21</v>
      </c>
      <c r="C26" s="30" t="s">
        <v>141</v>
      </c>
      <c r="D26" s="55" t="s">
        <v>142</v>
      </c>
      <c r="E26" s="30"/>
      <c r="F26" s="69"/>
      <c r="G26" s="43"/>
      <c r="H26" s="74"/>
      <c r="I26" s="75" t="s">
        <v>143</v>
      </c>
      <c r="K26" s="75"/>
    </row>
    <row r="27" spans="1:20" ht="20.25" customHeight="1" x14ac:dyDescent="0.2">
      <c r="A27" s="110"/>
      <c r="B27" s="47">
        <v>22</v>
      </c>
      <c r="C27" s="28" t="s">
        <v>141</v>
      </c>
      <c r="D27" s="53" t="s">
        <v>144</v>
      </c>
      <c r="E27" s="27"/>
      <c r="F27" s="68"/>
      <c r="G27" s="42"/>
      <c r="H27" s="73"/>
      <c r="I27" s="76" t="s">
        <v>145</v>
      </c>
      <c r="K27" s="29"/>
    </row>
    <row r="28" spans="1:20" ht="20.25" customHeight="1" x14ac:dyDescent="0.2">
      <c r="A28" s="110"/>
      <c r="B28" s="46">
        <v>23</v>
      </c>
      <c r="C28" s="30"/>
      <c r="D28" s="55"/>
      <c r="E28" s="30"/>
      <c r="F28" s="69"/>
      <c r="G28" s="43"/>
      <c r="H28" s="74"/>
      <c r="I28" s="75"/>
      <c r="K28" s="75"/>
    </row>
    <row r="29" spans="1:20" ht="20.25" customHeight="1" x14ac:dyDescent="0.2">
      <c r="A29" s="110"/>
      <c r="B29" s="47">
        <v>24</v>
      </c>
      <c r="C29" s="28"/>
      <c r="D29" s="53"/>
      <c r="E29" s="27"/>
      <c r="F29" s="68"/>
      <c r="G29" s="42"/>
      <c r="H29" s="73"/>
      <c r="I29" s="76"/>
      <c r="K29" s="29"/>
    </row>
    <row r="30" spans="1:20" ht="20.25" customHeight="1" x14ac:dyDescent="0.2">
      <c r="B30" s="46">
        <v>25</v>
      </c>
      <c r="C30" s="30"/>
      <c r="D30" s="55"/>
      <c r="E30" s="30"/>
      <c r="F30" s="69"/>
      <c r="G30" s="43"/>
      <c r="H30" s="74"/>
      <c r="I30" s="75"/>
      <c r="K30" s="75"/>
    </row>
    <row r="31" spans="1:20" ht="20.25" customHeight="1" x14ac:dyDescent="0.2">
      <c r="A31" s="110"/>
      <c r="B31" s="47">
        <v>26</v>
      </c>
      <c r="C31" s="28"/>
      <c r="D31" s="53"/>
      <c r="E31" s="27"/>
      <c r="F31" s="68"/>
      <c r="G31" s="42"/>
      <c r="H31" s="73"/>
      <c r="I31" s="76"/>
      <c r="K31" s="29"/>
    </row>
    <row r="32" spans="1:20" ht="20.25" customHeight="1" x14ac:dyDescent="0.2">
      <c r="B32" s="46">
        <v>27</v>
      </c>
      <c r="C32" s="30"/>
      <c r="D32" s="55"/>
      <c r="E32" s="30"/>
      <c r="F32" s="69"/>
      <c r="G32" s="43"/>
      <c r="H32" s="74"/>
      <c r="I32" s="75"/>
      <c r="K32" s="75"/>
    </row>
    <row r="33" spans="1:11" ht="20.25" customHeight="1" x14ac:dyDescent="0.2">
      <c r="A33" s="111"/>
      <c r="B33" s="47">
        <v>28</v>
      </c>
      <c r="C33" s="28"/>
      <c r="D33" s="53"/>
      <c r="E33" s="27"/>
      <c r="F33" s="68"/>
      <c r="G33" s="42"/>
      <c r="H33" s="73"/>
      <c r="I33" s="76"/>
      <c r="K33" s="29"/>
    </row>
    <row r="34" spans="1:11" ht="20.25" customHeight="1" x14ac:dyDescent="0.2">
      <c r="A34" s="101"/>
      <c r="B34" s="46">
        <v>29</v>
      </c>
      <c r="C34" s="30"/>
      <c r="D34" s="55"/>
      <c r="E34" s="30"/>
      <c r="F34" s="69"/>
      <c r="G34" s="43"/>
      <c r="H34" s="74"/>
      <c r="I34" s="75"/>
      <c r="K34" s="75"/>
    </row>
    <row r="35" spans="1:11" ht="20.25" customHeight="1" x14ac:dyDescent="0.2">
      <c r="A35" s="101"/>
      <c r="B35" s="47">
        <v>30</v>
      </c>
      <c r="C35" s="28"/>
      <c r="D35" s="53"/>
      <c r="E35" s="27"/>
      <c r="F35" s="68"/>
      <c r="G35" s="42"/>
      <c r="H35" s="73"/>
      <c r="I35" s="76"/>
      <c r="K35" s="29"/>
    </row>
    <row r="36" spans="1:11" ht="20.25" customHeight="1" x14ac:dyDescent="0.2">
      <c r="A36" s="101"/>
      <c r="B36" s="46"/>
      <c r="C36" s="30"/>
      <c r="D36" s="55"/>
      <c r="E36" s="30"/>
      <c r="F36" s="69"/>
      <c r="G36" s="43"/>
      <c r="H36" s="74"/>
      <c r="I36" s="75"/>
      <c r="K36" s="75"/>
    </row>
    <row r="37" spans="1:11" ht="20.25" customHeight="1" x14ac:dyDescent="0.2">
      <c r="A37" s="101"/>
      <c r="B37" s="47"/>
      <c r="C37" s="28"/>
      <c r="D37" s="53"/>
      <c r="E37" s="27"/>
      <c r="F37" s="68"/>
      <c r="G37" s="42"/>
      <c r="H37" s="73"/>
      <c r="I37" s="76"/>
      <c r="K37" s="29"/>
    </row>
    <row r="38" spans="1:11" ht="20.25" customHeight="1" x14ac:dyDescent="0.2">
      <c r="A38" s="101"/>
      <c r="B38" s="46"/>
      <c r="C38" s="30"/>
      <c r="D38" s="55"/>
      <c r="E38" s="30"/>
      <c r="F38" s="69"/>
      <c r="G38" s="43"/>
      <c r="H38" s="74"/>
      <c r="I38" s="75"/>
      <c r="K38" s="75"/>
    </row>
    <row r="39" spans="1:11" ht="15" customHeight="1" x14ac:dyDescent="0.2">
      <c r="A39" s="112"/>
    </row>
    <row r="40" spans="1:11" ht="15" customHeight="1" x14ac:dyDescent="0.2">
      <c r="B40" s="38"/>
    </row>
    <row r="41" spans="1:11" ht="15" customHeight="1" x14ac:dyDescent="0.2">
      <c r="B41" s="38"/>
    </row>
    <row r="42" spans="1:11" ht="15" customHeight="1" x14ac:dyDescent="0.2">
      <c r="B42" s="37" t="s">
        <v>70</v>
      </c>
    </row>
    <row r="43" spans="1:11" ht="15" customHeight="1" x14ac:dyDescent="0.2">
      <c r="B43" s="38"/>
    </row>
    <row r="44" spans="1:11" ht="15" customHeight="1" x14ac:dyDescent="0.2">
      <c r="B44" s="38"/>
    </row>
    <row r="45" spans="1:11" ht="15" customHeight="1" x14ac:dyDescent="0.2">
      <c r="B45" s="38"/>
    </row>
    <row r="47" spans="1:11" ht="15" customHeight="1" x14ac:dyDescent="0.2">
      <c r="B47" s="38"/>
    </row>
    <row r="48" spans="1:11" ht="15" customHeight="1" x14ac:dyDescent="0.2">
      <c r="B48" s="38"/>
    </row>
    <row r="49" spans="2:3" ht="15" customHeight="1" x14ac:dyDescent="0.2">
      <c r="B49" s="38"/>
    </row>
    <row r="50" spans="2:3" ht="15" customHeight="1" x14ac:dyDescent="0.2">
      <c r="B50" s="38"/>
      <c r="C50" s="39"/>
    </row>
    <row r="51" spans="2:3" ht="15" customHeight="1" x14ac:dyDescent="0.2">
      <c r="B51" s="40"/>
    </row>
    <row r="52" spans="2:3" ht="15" customHeight="1" x14ac:dyDescent="0.2">
      <c r="B52" s="40"/>
      <c r="C52" s="39"/>
    </row>
    <row r="53" spans="2:3" ht="15" customHeight="1" x14ac:dyDescent="0.2">
      <c r="B53" s="40"/>
      <c r="C53" s="39"/>
    </row>
    <row r="54" spans="2:3" ht="15" customHeight="1" x14ac:dyDescent="0.2">
      <c r="C54" s="39"/>
    </row>
  </sheetData>
  <mergeCells count="2">
    <mergeCell ref="B3:C3"/>
    <mergeCell ref="B2:I2"/>
  </mergeCells>
  <pageMargins left="0.7" right="0.7" top="0.75" bottom="0.75" header="0.3" footer="0.3"/>
  <pageSetup paperSize="9" scale="32" orientation="portrait" r:id="rId1"/>
  <headerFooter>
    <oddHeader>&amp;L&amp;"Arial"&amp;8&amp;K000000INTERNAL&amp;1#</oddHeader>
  </headerFooter>
  <rowBreaks count="1" manualBreakCount="1">
    <brk id="4" max="10" man="1"/>
  </rowBreaks>
  <colBreaks count="1" manualBreakCount="1">
    <brk id="1" max="77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673559-18A1-495A-B9B0-311D35343072}">
          <x14:formula1>
            <xm:f>Lista!$A$1:$A$16</xm:f>
          </x14:formula1>
          <xm:sqref>G6:G38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EEF7-0B0C-4AF0-81D6-048127C1C974}">
  <sheetPr>
    <tabColor theme="8" tint="-0.249977111117893"/>
  </sheetPr>
  <dimension ref="B1:B4"/>
  <sheetViews>
    <sheetView workbookViewId="0"/>
  </sheetViews>
  <sheetFormatPr baseColWidth="10" defaultRowHeight="15" x14ac:dyDescent="0.25"/>
  <cols>
    <col min="1" max="1" width="3.140625" customWidth="1"/>
  </cols>
  <sheetData>
    <row r="1" spans="2:2" ht="18.75" x14ac:dyDescent="0.3">
      <c r="B1" s="48"/>
    </row>
    <row r="2" spans="2:2" x14ac:dyDescent="0.25">
      <c r="B2" s="49"/>
    </row>
    <row r="3" spans="2:2" x14ac:dyDescent="0.25">
      <c r="B3" s="49"/>
    </row>
    <row r="4" spans="2:2" x14ac:dyDescent="0.25">
      <c r="B4" s="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408C-837C-4AB0-9D63-535F65CBB822}">
  <sheetPr>
    <tabColor theme="0" tint="-0.14999847407452621"/>
  </sheetPr>
  <dimension ref="A2:G28"/>
  <sheetViews>
    <sheetView workbookViewId="0">
      <selection activeCell="A20" sqref="A20"/>
    </sheetView>
  </sheetViews>
  <sheetFormatPr baseColWidth="10" defaultRowHeight="15" x14ac:dyDescent="0.25"/>
  <cols>
    <col min="1" max="1" width="28.5703125" customWidth="1"/>
    <col min="4" max="5" width="14.28515625" customWidth="1"/>
    <col min="6" max="6" width="1" customWidth="1"/>
    <col min="7" max="7" width="35" customWidth="1"/>
  </cols>
  <sheetData>
    <row r="2" spans="1:7" ht="26.25" x14ac:dyDescent="0.4">
      <c r="A2" s="5" t="s">
        <v>14</v>
      </c>
      <c r="B2" s="6"/>
      <c r="C2" s="6"/>
      <c r="D2" s="6"/>
      <c r="E2" s="6"/>
    </row>
    <row r="3" spans="1:7" ht="15.75" thickBot="1" x14ac:dyDescent="0.3"/>
    <row r="4" spans="1:7" ht="21.75" thickBot="1" x14ac:dyDescent="0.3">
      <c r="A4" s="7" t="s">
        <v>15</v>
      </c>
      <c r="B4" s="8"/>
      <c r="C4" s="8"/>
      <c r="D4" s="19" t="s">
        <v>57</v>
      </c>
      <c r="E4" s="18">
        <v>12</v>
      </c>
    </row>
    <row r="6" spans="1:7" ht="31.5" x14ac:dyDescent="0.25">
      <c r="A6" s="87" t="s">
        <v>16</v>
      </c>
      <c r="B6" s="88"/>
      <c r="C6" s="9" t="s">
        <v>59</v>
      </c>
      <c r="D6" s="9" t="s">
        <v>17</v>
      </c>
      <c r="E6" s="10" t="s">
        <v>18</v>
      </c>
      <c r="G6" s="10" t="s">
        <v>58</v>
      </c>
    </row>
    <row r="7" spans="1:7" ht="18.75" x14ac:dyDescent="0.3">
      <c r="A7" s="11" t="s">
        <v>19</v>
      </c>
      <c r="B7" s="11"/>
      <c r="C7" s="11"/>
      <c r="D7" s="11"/>
      <c r="E7" s="12">
        <f t="shared" ref="E7:E22" si="0">+D7-C7</f>
        <v>0</v>
      </c>
      <c r="G7" s="20"/>
    </row>
    <row r="8" spans="1:7" ht="18.75" x14ac:dyDescent="0.3">
      <c r="A8" s="13" t="s">
        <v>20</v>
      </c>
      <c r="B8" s="14" t="s">
        <v>7</v>
      </c>
      <c r="C8" s="17" t="e">
        <f>#REF!</f>
        <v>#REF!</v>
      </c>
      <c r="D8" s="11"/>
      <c r="E8" s="12" t="e">
        <f t="shared" si="0"/>
        <v>#REF!</v>
      </c>
      <c r="G8" s="20"/>
    </row>
    <row r="9" spans="1:7" ht="18.75" x14ac:dyDescent="0.3">
      <c r="A9" s="13" t="s">
        <v>22</v>
      </c>
      <c r="B9" s="14" t="s">
        <v>6</v>
      </c>
      <c r="C9" s="17" t="e">
        <f>#REF!+435</f>
        <v>#REF!</v>
      </c>
      <c r="D9" s="11"/>
      <c r="E9" s="12" t="e">
        <f t="shared" si="0"/>
        <v>#REF!</v>
      </c>
      <c r="G9" s="22"/>
    </row>
    <row r="10" spans="1:7" ht="18.75" x14ac:dyDescent="0.3">
      <c r="A10" s="13" t="s">
        <v>23</v>
      </c>
      <c r="B10" s="14"/>
      <c r="C10" s="17" t="e">
        <f>#REF!</f>
        <v>#REF!</v>
      </c>
      <c r="D10" s="21">
        <f>SUM(D11:D20)</f>
        <v>5</v>
      </c>
      <c r="E10" s="12" t="e">
        <f t="shared" si="0"/>
        <v>#REF!</v>
      </c>
      <c r="G10" s="20"/>
    </row>
    <row r="11" spans="1:7" ht="18.75" x14ac:dyDescent="0.3">
      <c r="A11" s="15" t="s">
        <v>24</v>
      </c>
      <c r="B11" s="14" t="s">
        <v>25</v>
      </c>
      <c r="C11" s="11">
        <v>0</v>
      </c>
      <c r="D11" s="11"/>
      <c r="E11" s="12">
        <f t="shared" si="0"/>
        <v>0</v>
      </c>
      <c r="G11" s="20"/>
    </row>
    <row r="12" spans="1:7" ht="18.75" x14ac:dyDescent="0.3">
      <c r="A12" s="15" t="s">
        <v>26</v>
      </c>
      <c r="B12" s="14" t="s">
        <v>27</v>
      </c>
      <c r="C12" s="11">
        <v>0</v>
      </c>
      <c r="D12" s="11"/>
      <c r="E12" s="12">
        <f t="shared" si="0"/>
        <v>0</v>
      </c>
      <c r="G12" s="20"/>
    </row>
    <row r="13" spans="1:7" ht="18.75" x14ac:dyDescent="0.3">
      <c r="A13" s="15" t="s">
        <v>28</v>
      </c>
      <c r="B13" s="14" t="s">
        <v>29</v>
      </c>
      <c r="C13" s="11">
        <v>0</v>
      </c>
      <c r="D13" s="11"/>
      <c r="E13" s="12">
        <f t="shared" si="0"/>
        <v>0</v>
      </c>
      <c r="G13" s="20"/>
    </row>
    <row r="14" spans="1:7" ht="18.75" x14ac:dyDescent="0.3">
      <c r="A14" s="15" t="s">
        <v>30</v>
      </c>
      <c r="B14" s="14" t="s">
        <v>31</v>
      </c>
      <c r="C14" s="11">
        <v>20</v>
      </c>
      <c r="D14" s="11"/>
      <c r="E14" s="12">
        <f t="shared" si="0"/>
        <v>-20</v>
      </c>
      <c r="G14" s="20"/>
    </row>
    <row r="15" spans="1:7" ht="18.75" x14ac:dyDescent="0.3">
      <c r="A15" s="15" t="s">
        <v>32</v>
      </c>
      <c r="B15" s="14" t="s">
        <v>33</v>
      </c>
      <c r="C15" s="11">
        <v>25</v>
      </c>
      <c r="D15" s="11"/>
      <c r="E15" s="12">
        <f t="shared" si="0"/>
        <v>-25</v>
      </c>
      <c r="G15" s="20"/>
    </row>
    <row r="16" spans="1:7" ht="18.75" x14ac:dyDescent="0.3">
      <c r="A16" s="15" t="s">
        <v>34</v>
      </c>
      <c r="B16" s="14" t="s">
        <v>35</v>
      </c>
      <c r="C16" s="11">
        <v>0</v>
      </c>
      <c r="D16" s="11"/>
      <c r="E16" s="12">
        <f t="shared" si="0"/>
        <v>0</v>
      </c>
      <c r="G16" s="20"/>
    </row>
    <row r="17" spans="1:7" ht="18.75" x14ac:dyDescent="0.3">
      <c r="A17" s="15" t="s">
        <v>36</v>
      </c>
      <c r="B17" s="14" t="s">
        <v>37</v>
      </c>
      <c r="C17" s="11">
        <v>0</v>
      </c>
      <c r="D17" s="11"/>
      <c r="E17" s="12">
        <f t="shared" si="0"/>
        <v>0</v>
      </c>
      <c r="G17" s="20"/>
    </row>
    <row r="18" spans="1:7" ht="18.75" x14ac:dyDescent="0.3">
      <c r="A18" s="13" t="s">
        <v>38</v>
      </c>
      <c r="B18" s="14" t="s">
        <v>39</v>
      </c>
      <c r="C18" s="11">
        <v>54</v>
      </c>
      <c r="D18" s="11"/>
      <c r="E18" s="12">
        <f t="shared" si="0"/>
        <v>-54</v>
      </c>
      <c r="G18" s="20"/>
    </row>
    <row r="19" spans="1:7" ht="18.75" x14ac:dyDescent="0.3">
      <c r="A19" s="15" t="s">
        <v>40</v>
      </c>
      <c r="B19" s="14" t="s">
        <v>41</v>
      </c>
      <c r="C19" s="11">
        <v>46</v>
      </c>
      <c r="D19" s="11"/>
      <c r="E19" s="12">
        <f>+D19-C19</f>
        <v>-46</v>
      </c>
      <c r="G19" s="20"/>
    </row>
    <row r="20" spans="1:7" ht="18.75" x14ac:dyDescent="0.3">
      <c r="A20" s="13" t="s">
        <v>42</v>
      </c>
      <c r="B20" s="14"/>
      <c r="C20" s="11">
        <v>0</v>
      </c>
      <c r="D20" s="21">
        <v>5</v>
      </c>
      <c r="E20" s="12">
        <f t="shared" si="0"/>
        <v>5</v>
      </c>
      <c r="G20" s="20"/>
    </row>
    <row r="21" spans="1:7" ht="18.75" x14ac:dyDescent="0.3">
      <c r="A21" s="15" t="s">
        <v>43</v>
      </c>
      <c r="B21" s="14" t="s">
        <v>44</v>
      </c>
      <c r="C21" s="11">
        <v>0</v>
      </c>
      <c r="D21" s="11"/>
      <c r="E21" s="12">
        <f t="shared" si="0"/>
        <v>0</v>
      </c>
      <c r="G21" s="20"/>
    </row>
    <row r="22" spans="1:7" ht="18.75" x14ac:dyDescent="0.3">
      <c r="A22" s="15" t="s">
        <v>45</v>
      </c>
      <c r="B22" s="14" t="s">
        <v>46</v>
      </c>
      <c r="C22" s="11">
        <v>0</v>
      </c>
      <c r="D22" s="11"/>
      <c r="E22" s="12">
        <f t="shared" si="0"/>
        <v>0</v>
      </c>
      <c r="G22" s="20"/>
    </row>
    <row r="23" spans="1:7" ht="18.75" x14ac:dyDescent="0.3">
      <c r="A23" s="15" t="s">
        <v>47</v>
      </c>
      <c r="B23" s="14" t="s">
        <v>48</v>
      </c>
      <c r="C23" s="11">
        <v>0</v>
      </c>
      <c r="D23" s="11"/>
      <c r="E23" s="12">
        <f>+D23-C23</f>
        <v>0</v>
      </c>
      <c r="G23" s="20"/>
    </row>
    <row r="24" spans="1:7" ht="18.75" x14ac:dyDescent="0.3">
      <c r="A24" s="15" t="s">
        <v>49</v>
      </c>
      <c r="B24" s="14" t="s">
        <v>50</v>
      </c>
      <c r="C24" s="11">
        <v>0</v>
      </c>
      <c r="D24" s="11"/>
      <c r="E24" s="12">
        <f>+D24-C24</f>
        <v>0</v>
      </c>
      <c r="G24" s="20"/>
    </row>
    <row r="25" spans="1:7" ht="18.75" x14ac:dyDescent="0.3">
      <c r="A25" s="15" t="s">
        <v>51</v>
      </c>
      <c r="B25" s="14" t="s">
        <v>52</v>
      </c>
      <c r="C25" s="11">
        <v>0</v>
      </c>
      <c r="D25" s="11"/>
      <c r="E25" s="12">
        <f>+D25-C25</f>
        <v>0</v>
      </c>
      <c r="G25" s="20"/>
    </row>
    <row r="26" spans="1:7" ht="18.75" x14ac:dyDescent="0.3">
      <c r="A26" s="15" t="s">
        <v>53</v>
      </c>
      <c r="B26" s="14" t="s">
        <v>54</v>
      </c>
      <c r="C26" s="11">
        <v>5</v>
      </c>
      <c r="D26" s="11"/>
      <c r="E26" s="12">
        <f>+D26-C26</f>
        <v>-5</v>
      </c>
      <c r="G26" s="20"/>
    </row>
    <row r="27" spans="1:7" ht="18.75" x14ac:dyDescent="0.3">
      <c r="A27" s="15" t="s">
        <v>55</v>
      </c>
      <c r="B27" s="14" t="s">
        <v>56</v>
      </c>
      <c r="C27" s="11">
        <v>0</v>
      </c>
      <c r="D27" s="11"/>
      <c r="E27" s="12">
        <f>+D27-C27</f>
        <v>0</v>
      </c>
      <c r="G27" s="20"/>
    </row>
    <row r="28" spans="1:7" ht="18.75" x14ac:dyDescent="0.3">
      <c r="A28" s="16"/>
      <c r="B28" s="14"/>
      <c r="C28" s="11"/>
      <c r="D28" s="11"/>
      <c r="E28" s="12"/>
      <c r="G28" s="20"/>
    </row>
  </sheetData>
  <mergeCells count="1">
    <mergeCell ref="A6:B6"/>
  </mergeCells>
  <pageMargins left="0.7" right="0.7" top="0.75" bottom="0.75" header="0.3" footer="0.3"/>
  <pageSetup paperSize="9" orientation="portrait" verticalDpi="0" r:id="rId1"/>
  <headerFooter>
    <oddHeader>&amp;L&amp;"Arial"&amp;8&amp;K000000INTERNAL&amp;1#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</sheetPr>
  <dimension ref="A1:A13"/>
  <sheetViews>
    <sheetView workbookViewId="0">
      <selection activeCell="A2" sqref="A2"/>
    </sheetView>
  </sheetViews>
  <sheetFormatPr baseColWidth="10" defaultRowHeight="15" x14ac:dyDescent="0.25"/>
  <cols>
    <col min="1" max="1" width="11.42578125" style="1"/>
  </cols>
  <sheetData>
    <row r="1" spans="1:1" x14ac:dyDescent="0.25">
      <c r="A1" s="1" t="s">
        <v>13</v>
      </c>
    </row>
    <row r="2" spans="1:1" x14ac:dyDescent="0.25">
      <c r="A2" s="1" t="s">
        <v>12</v>
      </c>
    </row>
    <row r="3" spans="1:1" x14ac:dyDescent="0.25">
      <c r="A3" s="4" t="s">
        <v>3</v>
      </c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1" t="s">
        <v>62</v>
      </c>
    </row>
    <row r="7" spans="1:1" x14ac:dyDescent="0.25">
      <c r="A7" s="3" t="s">
        <v>5</v>
      </c>
    </row>
    <row r="8" spans="1:1" x14ac:dyDescent="0.25">
      <c r="A8" s="3" t="s">
        <v>4</v>
      </c>
    </row>
    <row r="9" spans="1:1" x14ac:dyDescent="0.25">
      <c r="A9" s="2" t="s">
        <v>9</v>
      </c>
    </row>
    <row r="10" spans="1:1" x14ac:dyDescent="0.25">
      <c r="A10" s="2" t="s">
        <v>10</v>
      </c>
    </row>
    <row r="11" spans="1:1" x14ac:dyDescent="0.25">
      <c r="A11" s="3" t="s">
        <v>11</v>
      </c>
    </row>
    <row r="12" spans="1:1" x14ac:dyDescent="0.25">
      <c r="A12" s="1" t="s">
        <v>62</v>
      </c>
    </row>
    <row r="13" spans="1:1" x14ac:dyDescent="0.25">
      <c r="A13" s="1" t="s">
        <v>12</v>
      </c>
    </row>
  </sheetData>
  <pageMargins left="0.7" right="0.7" top="0.75" bottom="0.75" header="0.3" footer="0.3"/>
  <pageSetup paperSize="9" orientation="portrait" verticalDpi="0" r:id="rId1"/>
  <headerFooter>
    <oddHeader>&amp;L&amp;"Arial"&amp;8&amp;K000000INTERNAL&amp;1#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MDocumentOwner xmlns="4162faf6-afb5-4d6a-a6ab-2befbbc6469a">
      <UserInfo>
        <DisplayName/>
        <AccountId xsi:nil="true"/>
        <AccountType/>
      </UserInfo>
    </RevIMDocumentOwner>
    <n477345b66624aa3a599dd0083003cc5 xmlns="4162faf6-afb5-4d6a-a6ab-2befbbc6469a">
      <Terms xmlns="http://schemas.microsoft.com/office/infopath/2007/PartnerControls"/>
    </n477345b66624aa3a599dd0083003cc5>
    <TaxCatchAll xmlns="4162faf6-afb5-4d6a-a6ab-2befbbc6469a">
      <Value>2</Value>
    </TaxCatchAll>
    <RevIMComments xmlns="4162faf6-afb5-4d6a-a6ab-2befbbc6469a" xsi:nil="true"/>
    <RevIMDeletionDate xmlns="4162faf6-afb5-4d6a-a6ab-2befbbc6469a">2040-08-26T11:01:14+00:00</RevIMDeletionDate>
    <RevIMExtends xmlns="4162faf6-afb5-4d6a-a6ab-2befbbc6469a">{"Locked":null,"LockedBy":null,"UnLocked":null,"UnLockedBy":null,"Classified":"2025-08-26T11:02:57.613Z","KSUClass":"9124b000-8a8e-48cf-a9ea-3d15bac4448d","Reclassified":null,"ReclassifiedBy":null,"EDReclassified":null,"EDReclassifiedBy":null,"EventCreated":null,"EventModified":null,"EventDeleted":null,"EventCreatedBy":null,"EventModifiedBy":null,"EventDeletedBy":null,"Moved":null,"MovedBy":null,"MovedFrom":null}</RevIMExtends>
    <i0f84bba906045b4af568ee102a52dcb xmlns="4162faf6-afb5-4d6a-a6ab-2befbbc646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7.2 Production documents</TermName>
          <TermId xmlns="http://schemas.microsoft.com/office/infopath/2007/PartnerControls">9124b000-8a8e-48cf-a9ea-3d15bac4448d</TermId>
        </TermInfo>
      </Terms>
    </i0f84bba906045b4af568ee102a52dcb>
    <RevIMEventDate xmlns="4162faf6-afb5-4d6a-a6ab-2befbbc6469a" xsi:nil="true"/>
    <lcf76f155ced4ddcb4097134ff3c332f xmlns="b7a23498-62f1-4c95-81c0-56fa3d0bfe30">
      <Terms xmlns="http://schemas.microsoft.com/office/infopath/2007/PartnerControls"/>
    </lcf76f155ced4ddcb4097134ff3c332f>
    <RevIMDateOfModified2Creation xmlns="4162faf6-afb5-4d6a-a6ab-2befbbc646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B4DB0AC55DE6439B123E668ADF02A7" ma:contentTypeVersion="20" ma:contentTypeDescription="Crear nuevo documento." ma:contentTypeScope="" ma:versionID="996390ec14513bc428557f13a08a4b58">
  <xsd:schema xmlns:xsd="http://www.w3.org/2001/XMLSchema" xmlns:xs="http://www.w3.org/2001/XMLSchema" xmlns:p="http://schemas.microsoft.com/office/2006/metadata/properties" xmlns:ns2="4162faf6-afb5-4d6a-a6ab-2befbbc6469a" xmlns:ns3="b7a23498-62f1-4c95-81c0-56fa3d0bfe30" targetNamespace="http://schemas.microsoft.com/office/2006/metadata/properties" ma:root="true" ma:fieldsID="766f62e649efa63e88d8b79e8f8e3ddd" ns2:_="" ns3:_="">
    <xsd:import namespace="4162faf6-afb5-4d6a-a6ab-2befbbc6469a"/>
    <xsd:import namespace="b7a23498-62f1-4c95-81c0-56fa3d0bfe30"/>
    <xsd:element name="properties">
      <xsd:complexType>
        <xsd:sequence>
          <xsd:element name="documentManagement">
            <xsd:complexType>
              <xsd:all>
                <xsd:element ref="ns2:n477345b66624aa3a599dd0083003cc5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2:RevIMDateOfModified2Cre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2faf6-afb5-4d6a-a6ab-2befbbc6469a" elementFormDefault="qualified">
    <xsd:import namespace="http://schemas.microsoft.com/office/2006/documentManagement/types"/>
    <xsd:import namespace="http://schemas.microsoft.com/office/infopath/2007/PartnerControls"/>
    <xsd:element name="n477345b66624aa3a599dd0083003cc5" ma:index="8" nillable="true" ma:taxonomy="true" ma:internalName="n477345b66624aa3a599dd0083003cc5" ma:taxonomyFieldName="LegalHoldTag" ma:displayName="LegalHold" ma:fieldId="{7477345b-6662-4aa3-a599-dd0083003cc5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Columna global de taxonomía" ma:hidden="true" ma:list="{51e8f939-f83e-4ee3-8737-46fd114e8037}" ma:internalName="TaxCatchAll" ma:showField="CatchAllData" ma:web="4162faf6-afb5-4d6a-a6ab-2befbbc646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Columna global de taxonomía1" ma:hidden="true" ma:list="{51e8f939-f83e-4ee3-8737-46fd114e8037}" ma:internalName="TaxCatchAllLabel" ma:readOnly="true" ma:showField="CatchAllDataLabel" ma:web="4162faf6-afb5-4d6a-a6ab-2befbbc646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Clase CSD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Fecha de eliminación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Fecha del evento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Comentario del evento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Propietario del documento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30" nillable="true" ma:displayName="Fecha de reclasificación de Modificado a Clase de Creación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23498-62f1-4c95-81c0-56fa3d0bf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9" nillable="true" ma:taxonomy="true" ma:internalName="lcf76f155ced4ddcb4097134ff3c332f" ma:taxonomyFieldName="MediaServiceImageTags" ma:displayName="Etiquetas de imagen" ma:readOnly="false" ma:fieldId="{5cf76f15-5ced-4ddc-b409-7134ff3c332f}" ma:taxonomyMulti="true" ma:sspId="d35d9ec1-ff0e-4daf-94ff-594c76aa1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5431EC-C7C4-4FDE-8BEF-83C5E143F2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8699C6-3C30-40E3-B277-DF7BE533851A}">
  <ds:schemaRefs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2006/metadata/properties"/>
    <ds:schemaRef ds:uri="9acef9f1-880e-47e4-ad20-5642494be0db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0f3fe12-f932-4ee9-a6c8-0a5523773d5f"/>
    <ds:schemaRef ds:uri="http://schemas.microsoft.com/sharepoint/v3"/>
    <ds:schemaRef ds:uri="4162faf6-afb5-4d6a-a6ab-2befbbc6469a"/>
    <ds:schemaRef ds:uri="b7a23498-62f1-4c95-81c0-56fa3d0bfe30"/>
  </ds:schemaRefs>
</ds:datastoreItem>
</file>

<file path=customXml/itemProps3.xml><?xml version="1.0" encoding="utf-8"?>
<ds:datastoreItem xmlns:ds="http://schemas.openxmlformats.org/officeDocument/2006/customXml" ds:itemID="{DDC61322-2DC3-4849-921F-E93B722D30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62faf6-afb5-4d6a-a6ab-2befbbc6469a"/>
    <ds:schemaRef ds:uri="b7a23498-62f1-4c95-81c0-56fa3d0bfe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Disponibles (2)</vt:lpstr>
      <vt:lpstr>Tropics</vt:lpstr>
      <vt:lpstr>Hoja1</vt:lpstr>
      <vt:lpstr>Disponibles PA</vt:lpstr>
      <vt:lpstr>Lista</vt:lpstr>
      <vt:lpstr>Tropics!Área_de_impresión</vt:lpstr>
      <vt:lpstr>Tropics!News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Gallardo, Ricardo Daniel (A-PLO)</cp:lastModifiedBy>
  <cp:lastPrinted>2023-07-26T20:31:29Z</cp:lastPrinted>
  <dcterms:created xsi:type="dcterms:W3CDTF">2023-04-11T14:17:10Z</dcterms:created>
  <dcterms:modified xsi:type="dcterms:W3CDTF">2025-11-04T14:41:05Z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0x01010021B4DB0AC55DE6439B123E668ADF02A7</vt:lpwstr>
  </property>
  <property fmtid="{D5CDD505-2E9C-101B-9397-08002B2CF9AE}" pid="3" name="MSIP_Label_b1c9b508-7c6e-42bd-bedf-808292653d6c_Enabled">
    <vt:lpwstr>true</vt:lpwstr>
  </property>
  <property fmtid="{D5CDD505-2E9C-101B-9397-08002B2CF9AE}" pid="4" name="MSIP_Label_b1c9b508-7c6e-42bd-bedf-808292653d6c_SetDate">
    <vt:lpwstr>2024-02-23T19:15:25Z</vt:lpwstr>
  </property>
  <property fmtid="{D5CDD505-2E9C-101B-9397-08002B2CF9AE}" pid="5" name="MSIP_Label_b1c9b508-7c6e-42bd-bedf-808292653d6c_Method">
    <vt:lpwstr>Standard</vt:lpwstr>
  </property>
  <property fmtid="{D5CDD505-2E9C-101B-9397-08002B2CF9AE}" pid="6" name="MSIP_Label_b1c9b508-7c6e-42bd-bedf-808292653d6c_Name">
    <vt:lpwstr>b1c9b508-7c6e-42bd-bedf-808292653d6c</vt:lpwstr>
  </property>
  <property fmtid="{D5CDD505-2E9C-101B-9397-08002B2CF9AE}" pid="7" name="MSIP_Label_b1c9b508-7c6e-42bd-bedf-808292653d6c_SiteId">
    <vt:lpwstr>2882be50-2012-4d88-ac86-544124e120c8</vt:lpwstr>
  </property>
  <property fmtid="{D5CDD505-2E9C-101B-9397-08002B2CF9AE}" pid="8" name="MSIP_Label_b1c9b508-7c6e-42bd-bedf-808292653d6c_ActionId">
    <vt:lpwstr>e7117fbc-6ad8-4b20-9755-d4ce3e44a193</vt:lpwstr>
  </property>
  <property fmtid="{D5CDD505-2E9C-101B-9397-08002B2CF9AE}" pid="9" name="MSIP_Label_b1c9b508-7c6e-42bd-bedf-808292653d6c_ContentBits">
    <vt:lpwstr>3</vt:lpwstr>
  </property>
  <property fmtid="{D5CDD505-2E9C-101B-9397-08002B2CF9AE}" pid="10" name="RevIMBCS">
    <vt:lpwstr>2;#7.2 Production documents|9124b000-8a8e-48cf-a9ea-3d15bac4448d</vt:lpwstr>
  </property>
  <property fmtid="{D5CDD505-2E9C-101B-9397-08002B2CF9AE}" pid="11" name="LegalHoldTag">
    <vt:lpwstr/>
  </property>
  <property fmtid="{D5CDD505-2E9C-101B-9397-08002B2CF9AE}" pid="12" name="MediaServiceImageTags">
    <vt:lpwstr/>
  </property>
</Properties>
</file>